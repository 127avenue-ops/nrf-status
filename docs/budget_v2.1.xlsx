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nrf-status-site\docs\"/>
    </mc:Choice>
  </mc:AlternateContent>
  <xr:revisionPtr revIDLastSave="0" documentId="13_ncr:1_{F756681F-0E76-4DF3-A5E4-57EB99BF4AB0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9-1.소요예산 산출내역" sheetId="1" r:id="rId1"/>
    <sheet name="마스터" sheetId="2" r:id="rId2"/>
  </sheets>
  <definedNames>
    <definedName name="_xlnm.Print_Area" localSheetId="0">'9-1.소요예산 산출내역'!$B$1:$P$87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1" l="1"/>
  <c r="O80" i="1"/>
  <c r="O79" i="1"/>
  <c r="O78" i="1"/>
  <c r="O76" i="1" s="1"/>
  <c r="O77" i="1"/>
  <c r="O73" i="1"/>
  <c r="O71" i="1"/>
  <c r="O70" i="1"/>
  <c r="O69" i="1"/>
  <c r="O68" i="1"/>
  <c r="O67" i="1"/>
  <c r="O66" i="1"/>
  <c r="O65" i="1"/>
  <c r="O64" i="1"/>
  <c r="O63" i="1"/>
  <c r="O62" i="1"/>
  <c r="O61" i="1"/>
  <c r="O57" i="1" s="1"/>
  <c r="O60" i="1"/>
  <c r="O59" i="1"/>
  <c r="O58" i="1"/>
  <c r="O56" i="1"/>
  <c r="O55" i="1"/>
  <c r="O54" i="1"/>
  <c r="O53" i="1"/>
  <c r="O52" i="1"/>
  <c r="O51" i="1"/>
  <c r="O50" i="1"/>
  <c r="O49" i="1"/>
  <c r="O48" i="1"/>
  <c r="O47" i="1"/>
  <c r="O46" i="1" s="1"/>
  <c r="L45" i="1"/>
  <c r="D45" i="1"/>
  <c r="O45" i="1" s="1"/>
  <c r="L44" i="1"/>
  <c r="D44" i="1"/>
  <c r="O44" i="1" s="1"/>
  <c r="L43" i="1"/>
  <c r="D43" i="1"/>
  <c r="O43" i="1" s="1"/>
  <c r="L42" i="1"/>
  <c r="D42" i="1"/>
  <c r="L41" i="1"/>
  <c r="D41" i="1"/>
  <c r="O41" i="1" s="1"/>
  <c r="L40" i="1"/>
  <c r="D40" i="1"/>
  <c r="O40" i="1" s="1"/>
  <c r="O39" i="1"/>
  <c r="O37" i="1"/>
  <c r="O36" i="1"/>
  <c r="D35" i="1"/>
  <c r="O35" i="1" s="1"/>
  <c r="O32" i="1" s="1"/>
  <c r="O34" i="1"/>
  <c r="O33" i="1"/>
  <c r="O28" i="1"/>
  <c r="O27" i="1"/>
  <c r="O26" i="1" s="1"/>
  <c r="V5" i="1" s="1"/>
  <c r="O23" i="1"/>
  <c r="O22" i="1"/>
  <c r="O21" i="1"/>
  <c r="O20" i="1"/>
  <c r="O19" i="1"/>
  <c r="O18" i="1"/>
  <c r="O17" i="1" s="1"/>
  <c r="C6" i="2"/>
  <c r="D14" i="1" s="1"/>
  <c r="O14" i="1" s="1"/>
  <c r="C5" i="2"/>
  <c r="D5" i="2" s="1"/>
  <c r="C4" i="2"/>
  <c r="D4" i="2" s="1"/>
  <c r="C3" i="2"/>
  <c r="D3" i="2" s="1"/>
  <c r="D6" i="2" l="1"/>
  <c r="O42" i="1"/>
  <c r="V4" i="1"/>
  <c r="O38" i="1"/>
  <c r="D12" i="1"/>
  <c r="O12" i="1" s="1"/>
  <c r="V7" i="1"/>
  <c r="D13" i="1"/>
  <c r="O13" i="1" s="1"/>
  <c r="O10" i="1" l="1"/>
  <c r="O31" i="1"/>
  <c r="O7" i="1" l="1"/>
  <c r="P10" i="1" s="1"/>
  <c r="V3" i="1"/>
  <c r="V6" i="1"/>
  <c r="P31" i="1" l="1"/>
  <c r="D85" i="1"/>
  <c r="O85" i="1" s="1"/>
  <c r="O84" i="1" s="1"/>
  <c r="V8" i="1" s="1"/>
  <c r="P49" i="1"/>
  <c r="P23" i="1"/>
  <c r="P69" i="1"/>
  <c r="P17" i="1"/>
  <c r="P57" i="1"/>
  <c r="P63" i="1"/>
  <c r="P32" i="1"/>
  <c r="P46" i="1"/>
  <c r="P54" i="1"/>
  <c r="P18" i="1"/>
  <c r="P26" i="1"/>
  <c r="P76" i="1"/>
  <c r="P38" i="1"/>
  <c r="O87" i="1" l="1"/>
  <c r="P22" i="1" s="1"/>
  <c r="V9" i="1"/>
  <c r="W9" i="1" l="1"/>
  <c r="W5" i="1"/>
  <c r="W4" i="1"/>
  <c r="W7" i="1"/>
  <c r="W6" i="1"/>
  <c r="W3" i="1"/>
  <c r="W8" i="1"/>
</calcChain>
</file>

<file path=xl/sharedStrings.xml><?xml version="1.0" encoding="utf-8"?>
<sst xmlns="http://schemas.openxmlformats.org/spreadsheetml/2006/main" count="440" uniqueCount="166">
  <si>
    <t>학술연구용역인건비기준단가(2026년)</t>
  </si>
  <si>
    <t>등 급</t>
  </si>
  <si>
    <t>월 임금(’26) 50%</t>
  </si>
  <si>
    <t>월 임금(’26) 100%</t>
  </si>
  <si>
    <t>연봉(참여율 100%)</t>
  </si>
  <si>
    <t>책임연구원</t>
  </si>
  <si>
    <t>연구원</t>
  </si>
  <si>
    <t>연구보조원</t>
  </si>
  <si>
    <t>보조원</t>
  </si>
  <si>
    <t>국내 숙박비 등급 구분표</t>
  </si>
  <si>
    <t>도시종류</t>
  </si>
  <si>
    <t>구분</t>
  </si>
  <si>
    <t>등급(입력값)</t>
  </si>
  <si>
    <t>식비</t>
  </si>
  <si>
    <t>숙박비상한액</t>
  </si>
  <si>
    <t>일비</t>
  </si>
  <si>
    <t>수도권</t>
  </si>
  <si>
    <t>원장, 관리직</t>
  </si>
  <si>
    <t>-</t>
  </si>
  <si>
    <t>전액(실비입력필요)</t>
  </si>
  <si>
    <t>그외 전직원</t>
  </si>
  <si>
    <t>가</t>
  </si>
  <si>
    <t>광역시</t>
  </si>
  <si>
    <t>나</t>
  </si>
  <si>
    <t>그외도시</t>
  </si>
  <si>
    <t>다</t>
  </si>
  <si>
    <t>국외 여비 등급 구분표</t>
  </si>
  <si>
    <t>도시</t>
  </si>
  <si>
    <t>숙박비상한액(실비)</t>
  </si>
  <si>
    <t>도쿄, 뉴욕, 런던, 로스엔젤레스, 모스크바, 샌프란시스코, 워싱턴 D.C., 파리, 홍콩, 제네바, 싱가포르</t>
  </si>
  <si>
    <t>원장</t>
  </si>
  <si>
    <t>관리직</t>
  </si>
  <si>
    <t>의사직, 연구직(수석연구원, 책임연구원), 의학물리학직(1-2급), 일반직(1-2급)</t>
  </si>
  <si>
    <t>위를 제외한 전 직원</t>
  </si>
  <si>
    <t>베이징, 사모아, 오스트레일리아, 인도, 일본, 카자흐스탄, 쿡제도, 타이완, 파푸아뉴기니,멕시코, 미국, 바베이도스, 세인트루시아, 세인트빈센트그레나딘, 세인트키츠네비스, 아이티, 앤티가바부다, 자메이카, 캐나다, 트리니다드토바고, 그리스, 네덜란드, 노르웨이, 덴마크, 독일, 러시아, 룩셈부르크, 벨기에, 사이프러스, 스웨덴, 스위스, 스페인, 아이슬란드, 아일랜드, 영국, 오스트리아, 이탈리아, 포르투칼, 프랑스, 핀란드, 헝가리, 가나, 가봉, 남수단, 남아프리카공화국, 리비아, 모로코, 바레인, 사우디아라비아, 세이셸, 아랍에미리트, 앙골라, 에티오피아, 오만, 우간다, 이스라엘, 이집트, 적도기니, 카타르, 코트디부아르, 콩고민주공화국, 쿠웨이트</t>
  </si>
  <si>
    <t>뉴질랜드, 니우에, 마셜군도, 말레이시아, 방글라데시, 브루나이, 아제르바이잔, 인도네시아, 중국, 키르키즈공화국, 타이, 터키, 투르크메니스탄, 파키스탄, 피지, 가이아나, 과테말라, 도미니카공화국, 베네수엘라, 벨리즈, 브라질, 아르헨티나, 에콰도르, 우루과이, 칠레, 코스타리카, 파나마, 라트비아, 루마니아, 리투아니아, 몬테네그로, 불가리아, 세르비아, 슬로바키아, 슬로베니아, 에스토니아, 우크라이나, 체코, 크로아티아, 폴란드, 기니, 나이지리아, 니제르, 라이베리아, 레바논, 르완다, 말리, 모리셔스, 모잠비크, 보츠와나, 부르키나파소, 상투메프린시페, 세네갈, 수단, 스와질란드, 시에라리온, 아프가니스탄, 알제리, 요르단, 이라크, 잠비아, 중앙아프리카공화국, 카메룬, 케냐, 탄자니아</t>
  </si>
  <si>
    <t>네팔, 동티모르, 라오스, 몽골, 미얀마, 미크로네시아, 베트남, 스리랑카, 우즈베키스탄, 캄보디아, 타지키스탄, 통가, 필리핀, 니카라과, 볼리비아, 수리남, 엘살바도르, 온두라스, 콜롬비아, 파라과이, 페루,마케도니아, 몰도바, 벨라루스, 보스니아헤르체코비나, 알바니아, 감비아, 기니비사우, 나미비아, 레소토, 마다가스카르, 말라위, 모리타니, 소말리아, 예멘, 이란, 짐바브웨, 튀니지</t>
  </si>
  <si>
    <t>9-1. 소요예산 산출내역</t>
  </si>
  <si>
    <t>2026.06.11.</t>
  </si>
  <si>
    <t>소요예산 총괄표 &lt;자동입력&gt;</t>
  </si>
  <si>
    <t>연구비목</t>
  </si>
  <si>
    <t>금액(원)</t>
  </si>
  <si>
    <t>구성비(%)</t>
  </si>
  <si>
    <t>연구기간: 12개월 (연구 개시일은 협약 시 확정)</t>
  </si>
  <si>
    <t>1. 직접비</t>
  </si>
  <si>
    <t>①인건비</t>
  </si>
  <si>
    <t>②연구시설장비비</t>
  </si>
  <si>
    <t>* 작성방법: 붉은색 글씨 표시된 부분 작성</t>
  </si>
  <si>
    <t>달러당 환율:</t>
  </si>
  <si>
    <t>원</t>
  </si>
  <si>
    <t>③연구재료비</t>
  </si>
  <si>
    <t>Ⅰ. 직접비</t>
  </si>
  <si>
    <t>금액</t>
  </si>
  <si>
    <t>비고</t>
  </si>
  <si>
    <t>④연구활동비</t>
  </si>
  <si>
    <t>○ 직접비 합계</t>
  </si>
  <si>
    <t>⑤위탁연구개발비</t>
  </si>
  <si>
    <t>2. 간접비(직접비의 6%)</t>
  </si>
  <si>
    <t>1. 인건비 ('26 기재부 학술연구용역 인건비 기준단가 적용)</t>
  </si>
  <si>
    <t>구성비</t>
  </si>
  <si>
    <t>합계</t>
  </si>
  <si>
    <t>○ 인건비 합계</t>
  </si>
  <si>
    <t>직접비 대비 인건비 비율</t>
  </si>
  <si>
    <t>등급</t>
  </si>
  <si>
    <t>&lt;자동입력&gt;</t>
  </si>
  <si>
    <t>인건비계상율</t>
  </si>
  <si>
    <t>인원</t>
  </si>
  <si>
    <t>개월</t>
  </si>
  <si>
    <t>×</t>
  </si>
  <si>
    <t>%</t>
  </si>
  <si>
    <t>명</t>
  </si>
  <si>
    <t>월</t>
  </si>
  <si>
    <t>=</t>
  </si>
  <si>
    <t>2. 연구 시설·장비비 (단, 범용성 장비에 대해서는 총 연구비 10% 이내)</t>
  </si>
  <si>
    <t>○ 연구시설장비비 합계</t>
  </si>
  <si>
    <t>직접비 대비 연구시설장비비 비율</t>
  </si>
  <si>
    <t>▶ 연구시설, 장비 구매</t>
  </si>
  <si>
    <t>단가(부가세 포함)</t>
  </si>
  <si>
    <t>신규 장비명</t>
  </si>
  <si>
    <t>개</t>
  </si>
  <si>
    <t>s/w명</t>
  </si>
  <si>
    <t>비품명</t>
  </si>
  <si>
    <t>▶ 범용성 장비 구매(총 연구비의 10% 이내)</t>
  </si>
  <si>
    <t>붉은색표시-기준초과 수정필요</t>
  </si>
  <si>
    <t>범용성 장비명</t>
  </si>
  <si>
    <t>3. 연구재료비</t>
  </si>
  <si>
    <t>○ 연구재료비 합계</t>
  </si>
  <si>
    <t>직접비 대비 연구재료비 비율</t>
  </si>
  <si>
    <t>시약재료 구입비</t>
  </si>
  <si>
    <t>회</t>
  </si>
  <si>
    <t>견적서 별첨 또는 계획서 견적서 서식 작성</t>
  </si>
  <si>
    <t>4. 연구활동비</t>
  </si>
  <si>
    <t>○ 연구활동비 합계</t>
  </si>
  <si>
    <t>직접비 대비 연구활동비 비율</t>
  </si>
  <si>
    <t>▶ 국내여비</t>
  </si>
  <si>
    <t>추정금액</t>
  </si>
  <si>
    <t>마스터-국내 여비 등급 구분표 참고</t>
  </si>
  <si>
    <t>운임비 실비(공통) — 학회 발표 2회 × 1인당 편도 4회</t>
  </si>
  <si>
    <t>실비 기재</t>
  </si>
  <si>
    <t>숙박비 실비(원장&amp;관리직)</t>
  </si>
  <si>
    <t>박</t>
  </si>
  <si>
    <t>마스터 "국내 숙박비 등급" 입력</t>
  </si>
  <si>
    <t>숙박비 상한액(그외 직원)</t>
  </si>
  <si>
    <t>일비 정액(공통)</t>
  </si>
  <si>
    <t>일</t>
  </si>
  <si>
    <t>식비 정액(공통)</t>
  </si>
  <si>
    <t xml:space="preserve">▶ 국외여비 </t>
  </si>
  <si>
    <t>항공운임비 실비(공통)</t>
  </si>
  <si>
    <t>마스터 "국외여비등급" 입력</t>
  </si>
  <si>
    <t>숙박비 상한액(원장, 관리직)</t>
  </si>
  <si>
    <t>환율</t>
  </si>
  <si>
    <t>일비 정액(원장, 관리직)</t>
  </si>
  <si>
    <t>마스터-국외 여비 등급 구분표 참고</t>
  </si>
  <si>
    <t>일비 정액(그외 직원)</t>
  </si>
  <si>
    <t>식비 정액(원장, 관리직)</t>
  </si>
  <si>
    <t>식비 정액(그외 직원)</t>
  </si>
  <si>
    <t>▶ 대상자 관련 비용</t>
  </si>
  <si>
    <t>대상자 사례비</t>
  </si>
  <si>
    <t>대상자 검사진료비</t>
  </si>
  <si>
    <t>▶ 수용비 및 수수료</t>
  </si>
  <si>
    <t>결과보고서 제작</t>
  </si>
  <si>
    <t>P</t>
  </si>
  <si>
    <t>부</t>
  </si>
  <si>
    <t>자료 인쇄 및 복사비 (발표·제출 자료)</t>
  </si>
  <si>
    <t>공공요금(우편,전화사용료 등)</t>
  </si>
  <si>
    <t>기타 수수료 비용</t>
  </si>
  <si>
    <t>▶ 논문 게재관련 비용(연구종료 후 1년까지 집행 가능)</t>
  </si>
  <si>
    <t>논문교정료 (영문 교정)</t>
  </si>
  <si>
    <t>▶ 기술정보활동비</t>
  </si>
  <si>
    <t>전문가활용비 — 통계·방법 자문(등장회귀·부분식별·불확실 구간)</t>
  </si>
  <si>
    <t>전문가활용규칙 준용</t>
  </si>
  <si>
    <t>학회 참가·등록비 (국내 학회 중간·최종 발표)</t>
  </si>
  <si>
    <t>문헌구입비 (현실 요건 축 문헌)</t>
  </si>
  <si>
    <t>권</t>
  </si>
  <si>
    <t>세미나 개최비</t>
  </si>
  <si>
    <t>원고의뢰 등</t>
  </si>
  <si>
    <t>▶ 임차료</t>
  </si>
  <si>
    <t>(예) 00장비 임대</t>
  </si>
  <si>
    <t>시설,장비,S/W 명 기재</t>
  </si>
  <si>
    <t xml:space="preserve">(예) ChatGPT 구독 </t>
  </si>
  <si>
    <t>AI명 기재</t>
  </si>
  <si>
    <t>(예) 00사육실 사용료</t>
  </si>
  <si>
    <t>(예) 업무폰 임대료</t>
  </si>
  <si>
    <t>PC, 복합기 등 물품명 기재</t>
  </si>
  <si>
    <t>회의장소 등 대관료</t>
  </si>
  <si>
    <t>▶ 연구과제 운영경비</t>
  </si>
  <si>
    <t>회의비</t>
  </si>
  <si>
    <t xml:space="preserve">  </t>
  </si>
  <si>
    <t>사무용품비 (연구 소모품·문구)</t>
  </si>
  <si>
    <t>▶</t>
  </si>
  <si>
    <t>외부 DB 사용료</t>
  </si>
  <si>
    <t>5. 위탁연구개발비 (직접비의 50% 이내)</t>
  </si>
  <si>
    <t>직접비 대비 위탁연구개발비 비율</t>
  </si>
  <si>
    <t>○ 위탁연구개발비 합계</t>
  </si>
  <si>
    <t>인건비</t>
  </si>
  <si>
    <t>계획서 및 연구비 산출내역서 별도 작성</t>
  </si>
  <si>
    <t>연구시설장비비</t>
  </si>
  <si>
    <t>연구재료비</t>
  </si>
  <si>
    <t>연구활동비</t>
  </si>
  <si>
    <t>간접비(일반관리비)</t>
  </si>
  <si>
    <t>Ⅱ. 간접비(직접비의 6%)</t>
  </si>
  <si>
    <t>○ 간접비 합계</t>
  </si>
  <si>
    <t>직접비 소계</t>
  </si>
  <si>
    <t>연구비 총 합계(직접비+간접비)</t>
  </si>
  <si>
    <t>논문게재료 (편당 상한 추정 — 연구 1·2 원고 · 연구 3 원고, OA 포함)</t>
    <phoneticPr fontId="2" type="noConversion"/>
  </si>
  <si>
    <t>과제명: 근무 규칙을 반영한 병동 간호인력 배수표 개발: 가상근무표 시뮬레이션을 통한 추가 필요인력 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</si>
</sst>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u val="doubleAccounting"/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i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u val="double"/>
      <sz val="11"/>
      <color theme="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sz val="10"/>
      <color theme="4" tint="-0.249977111117893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20"/>
      <color theme="1"/>
      <name val="HY헤드라인M"/>
      <family val="1"/>
      <charset val="129"/>
    </font>
    <font>
      <sz val="8"/>
      <color theme="1"/>
      <name val="맑은 고딕"/>
      <family val="3"/>
      <charset val="129"/>
      <scheme val="major"/>
    </font>
    <font>
      <i/>
      <sz val="11"/>
      <name val="맑은 고딕"/>
      <family val="3"/>
      <charset val="129"/>
      <scheme val="major"/>
    </font>
    <font>
      <sz val="16"/>
      <color theme="1"/>
      <name val="HY헤드라인M"/>
      <family val="1"/>
      <charset val="129"/>
    </font>
    <font>
      <b/>
      <sz val="10"/>
      <color rgb="FF0000FF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" fillId="3" borderId="0">
      <alignment vertical="center"/>
    </xf>
  </cellStyleXfs>
  <cellXfs count="185">
    <xf numFmtId="0" fontId="0" fillId="0" borderId="0" xfId="0">
      <alignment vertical="center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41" fontId="0" fillId="0" borderId="5" xfId="1" applyFont="1" applyBorder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5" xfId="0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76" fontId="14" fillId="0" borderId="0" xfId="2" applyNumberFormat="1" applyFont="1" applyAlignment="1" applyProtection="1">
      <alignment horizontal="center" vertical="center" wrapText="1"/>
      <protection locked="0"/>
    </xf>
    <xf numFmtId="176" fontId="15" fillId="0" borderId="0" xfId="2" applyNumberFormat="1" applyFont="1" applyAlignment="1" applyProtection="1">
      <alignment horizontal="center" vertical="center" wrapText="1"/>
      <protection locked="0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41" fontId="18" fillId="0" borderId="0" xfId="0" applyNumberFormat="1" applyFont="1">
      <alignment vertical="center"/>
    </xf>
    <xf numFmtId="0" fontId="19" fillId="0" borderId="0" xfId="0" applyFont="1">
      <alignment vertical="center"/>
    </xf>
    <xf numFmtId="41" fontId="16" fillId="0" borderId="0" xfId="1" applyFont="1" applyAlignment="1">
      <alignment horizontal="center" vertical="center" wrapText="1"/>
    </xf>
    <xf numFmtId="0" fontId="16" fillId="0" borderId="14" xfId="0" applyFont="1" applyBorder="1">
      <alignment vertical="center"/>
    </xf>
    <xf numFmtId="41" fontId="15" fillId="0" borderId="0" xfId="1" applyFont="1" applyAlignment="1">
      <alignment vertical="center" wrapText="1"/>
    </xf>
    <xf numFmtId="0" fontId="6" fillId="0" borderId="0" xfId="0" applyFont="1" applyAlignment="1">
      <alignment horizontal="left" vertical="center"/>
    </xf>
    <xf numFmtId="41" fontId="16" fillId="0" borderId="0" xfId="1" applyFont="1">
      <alignment vertical="center"/>
    </xf>
    <xf numFmtId="41" fontId="18" fillId="0" borderId="0" xfId="0" applyNumberFormat="1" applyFont="1" applyAlignment="1">
      <alignment horizontal="center" vertical="center" wrapText="1"/>
    </xf>
    <xf numFmtId="0" fontId="18" fillId="2" borderId="2" xfId="0" applyFont="1" applyFill="1" applyBorder="1" applyAlignment="1">
      <alignment horizontal="justify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6" fontId="6" fillId="0" borderId="0" xfId="2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1" fontId="14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1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41" fontId="14" fillId="0" borderId="0" xfId="0" applyNumberFormat="1" applyFont="1" applyAlignment="1">
      <alignment horizontal="left" vertical="center" wrapText="1"/>
    </xf>
    <xf numFmtId="41" fontId="16" fillId="0" borderId="0" xfId="1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41" fontId="26" fillId="0" borderId="0" xfId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41" fontId="2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indent="1"/>
    </xf>
    <xf numFmtId="0" fontId="18" fillId="0" borderId="0" xfId="0" applyFont="1" applyAlignment="1">
      <alignment horizontal="justify" vertical="center" wrapText="1"/>
    </xf>
    <xf numFmtId="41" fontId="18" fillId="0" borderId="0" xfId="0" applyNumberFormat="1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41" fontId="6" fillId="0" borderId="0" xfId="0" applyNumberFormat="1" applyFont="1" applyAlignment="1">
      <alignment horizontal="center" vertical="center" wrapText="1"/>
    </xf>
    <xf numFmtId="176" fontId="3" fillId="0" borderId="0" xfId="2" applyNumberFormat="1" applyFont="1" applyAlignment="1">
      <alignment horizontal="center" vertical="center" wrapText="1"/>
    </xf>
    <xf numFmtId="3" fontId="16" fillId="0" borderId="0" xfId="0" applyNumberFormat="1" applyFont="1" applyAlignment="1">
      <alignment horizontal="right" vertical="center" wrapText="1"/>
    </xf>
    <xf numFmtId="0" fontId="28" fillId="0" borderId="0" xfId="0" applyFont="1" applyAlignment="1">
      <alignment horizontal="left" vertical="center" indent="1"/>
    </xf>
    <xf numFmtId="3" fontId="18" fillId="0" borderId="0" xfId="0" applyNumberFormat="1" applyFont="1" applyAlignment="1">
      <alignment horizontal="right" vertical="center" wrapText="1"/>
    </xf>
    <xf numFmtId="0" fontId="29" fillId="0" borderId="0" xfId="0" applyFont="1">
      <alignment vertical="center"/>
    </xf>
    <xf numFmtId="0" fontId="15" fillId="0" borderId="0" xfId="0" applyFont="1" applyAlignment="1">
      <alignment horizontal="left" vertical="center" wrapText="1"/>
    </xf>
    <xf numFmtId="0" fontId="26" fillId="0" borderId="0" xfId="0" applyFont="1">
      <alignment vertical="center"/>
    </xf>
    <xf numFmtId="41" fontId="17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right" vertical="center" wrapText="1"/>
    </xf>
    <xf numFmtId="41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justify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 wrapText="1"/>
    </xf>
    <xf numFmtId="0" fontId="16" fillId="0" borderId="0" xfId="0" applyFont="1" applyAlignment="1">
      <alignment horizontal="justify" vertical="center" wrapText="1"/>
    </xf>
    <xf numFmtId="0" fontId="31" fillId="0" borderId="0" xfId="0" applyFont="1">
      <alignment vertical="center"/>
    </xf>
    <xf numFmtId="176" fontId="16" fillId="0" borderId="0" xfId="3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0" fontId="15" fillId="0" borderId="0" xfId="0" applyFont="1" applyAlignment="1">
      <alignment horizontal="justify" vertical="center" wrapText="1"/>
    </xf>
    <xf numFmtId="0" fontId="14" fillId="0" borderId="0" xfId="0" applyFont="1" applyAlignment="1">
      <alignment horizontal="left" vertical="center" wrapText="1" indent="1"/>
    </xf>
    <xf numFmtId="41" fontId="14" fillId="0" borderId="0" xfId="1" applyFont="1" applyAlignment="1">
      <alignment horizontal="center" vertical="center" wrapText="1"/>
    </xf>
    <xf numFmtId="41" fontId="16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justify" vertical="center" wrapText="1"/>
    </xf>
    <xf numFmtId="0" fontId="32" fillId="0" borderId="0" xfId="0" applyFont="1" applyAlignment="1">
      <alignment vertical="center" wrapText="1"/>
    </xf>
    <xf numFmtId="41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41" fontId="3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41" fontId="3" fillId="0" borderId="0" xfId="1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 indent="1"/>
    </xf>
    <xf numFmtId="3" fontId="16" fillId="0" borderId="0" xfId="0" applyNumberFormat="1" applyFont="1" applyAlignment="1">
      <alignment vertical="center" wrapText="1"/>
    </xf>
    <xf numFmtId="0" fontId="17" fillId="2" borderId="2" xfId="0" applyFont="1" applyFill="1" applyBorder="1" applyAlignment="1">
      <alignment horizontal="left" vertical="center" wrapText="1"/>
    </xf>
    <xf numFmtId="41" fontId="3" fillId="0" borderId="0" xfId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41" fontId="14" fillId="0" borderId="0" xfId="0" applyNumberFormat="1" applyFont="1" applyAlignment="1">
      <alignment horizontal="justify" vertical="center" wrapText="1"/>
    </xf>
    <xf numFmtId="9" fontId="14" fillId="0" borderId="0" xfId="2" applyFont="1" applyAlignment="1">
      <alignment horizontal="justify" vertical="center" wrapText="1"/>
    </xf>
    <xf numFmtId="0" fontId="26" fillId="0" borderId="0" xfId="0" applyFont="1" applyAlignment="1">
      <alignment horizontal="justify" vertical="center" wrapText="1"/>
    </xf>
    <xf numFmtId="41" fontId="14" fillId="0" borderId="0" xfId="1" applyFont="1" applyAlignment="1">
      <alignment horizontal="right" vertical="center" wrapText="1"/>
    </xf>
    <xf numFmtId="41" fontId="26" fillId="0" borderId="0" xfId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41" fontId="18" fillId="2" borderId="4" xfId="0" applyNumberFormat="1" applyFont="1" applyFill="1" applyBorder="1" applyAlignment="1">
      <alignment vertical="center" wrapText="1"/>
    </xf>
    <xf numFmtId="9" fontId="6" fillId="2" borderId="4" xfId="0" applyNumberFormat="1" applyFont="1" applyFill="1" applyBorder="1" applyAlignment="1">
      <alignment horizontal="right" vertical="center" wrapText="1"/>
    </xf>
    <xf numFmtId="9" fontId="18" fillId="2" borderId="4" xfId="0" applyNumberFormat="1" applyFont="1" applyFill="1" applyBorder="1" applyAlignment="1">
      <alignment horizontal="right" vertical="center" wrapText="1"/>
    </xf>
    <xf numFmtId="41" fontId="18" fillId="0" borderId="0" xfId="1" applyFont="1">
      <alignment vertical="center"/>
    </xf>
    <xf numFmtId="41" fontId="25" fillId="0" borderId="0" xfId="1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9" fontId="25" fillId="0" borderId="0" xfId="2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41" fontId="25" fillId="0" borderId="0" xfId="1" applyFont="1" applyAlignment="1">
      <alignment horizontal="justify" vertical="center" wrapText="1"/>
    </xf>
    <xf numFmtId="0" fontId="3" fillId="0" borderId="0" xfId="2" applyNumberFormat="1" applyFont="1" applyAlignment="1">
      <alignment horizontal="center" vertical="center" wrapText="1"/>
    </xf>
    <xf numFmtId="41" fontId="23" fillId="6" borderId="0" xfId="0" applyNumberFormat="1" applyFont="1" applyFill="1" applyAlignment="1">
      <alignment horizontal="center" vertical="center" wrapText="1"/>
    </xf>
    <xf numFmtId="3" fontId="27" fillId="6" borderId="0" xfId="0" applyNumberFormat="1" applyFont="1" applyFill="1" applyAlignment="1">
      <alignment horizontal="right" vertical="center" wrapText="1"/>
    </xf>
    <xf numFmtId="3" fontId="6" fillId="7" borderId="0" xfId="0" applyNumberFormat="1" applyFont="1" applyFill="1" applyAlignment="1">
      <alignment horizontal="right" vertical="center" wrapText="1"/>
    </xf>
    <xf numFmtId="3" fontId="18" fillId="7" borderId="0" xfId="0" applyNumberFormat="1" applyFont="1" applyFill="1" applyAlignment="1">
      <alignment horizontal="right" vertical="center" wrapText="1"/>
    </xf>
    <xf numFmtId="41" fontId="6" fillId="7" borderId="0" xfId="0" applyNumberFormat="1" applyFont="1" applyFill="1" applyAlignment="1">
      <alignment horizontal="center" vertical="center" wrapText="1"/>
    </xf>
    <xf numFmtId="41" fontId="3" fillId="7" borderId="0" xfId="0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justify" vertical="center" wrapText="1"/>
    </xf>
    <xf numFmtId="0" fontId="20" fillId="0" borderId="0" xfId="0" applyFont="1">
      <alignment vertical="center"/>
    </xf>
    <xf numFmtId="41" fontId="35" fillId="0" borderId="0" xfId="1" applyFont="1" applyAlignment="1">
      <alignment horizontal="left" vertical="center" wrapText="1"/>
    </xf>
    <xf numFmtId="0" fontId="16" fillId="6" borderId="5" xfId="0" applyFont="1" applyFill="1" applyBorder="1">
      <alignment vertical="center"/>
    </xf>
    <xf numFmtId="9" fontId="16" fillId="6" borderId="5" xfId="2" applyFont="1" applyFill="1" applyBorder="1">
      <alignment vertical="center"/>
    </xf>
    <xf numFmtId="42" fontId="16" fillId="6" borderId="5" xfId="0" applyNumberFormat="1" applyFont="1" applyFill="1" applyBorder="1" applyAlignment="1">
      <alignment horizontal="right" vertical="center"/>
    </xf>
    <xf numFmtId="42" fontId="16" fillId="6" borderId="5" xfId="1" applyNumberFormat="1" applyFont="1" applyFill="1" applyBorder="1" applyAlignment="1">
      <alignment horizontal="right" vertical="center"/>
    </xf>
    <xf numFmtId="0" fontId="18" fillId="6" borderId="5" xfId="0" applyFont="1" applyFill="1" applyBorder="1" applyAlignment="1">
      <alignment horizontal="center" vertical="center"/>
    </xf>
    <xf numFmtId="41" fontId="15" fillId="0" borderId="0" xfId="1" applyFont="1" applyAlignment="1">
      <alignment horizontal="left" vertical="center" wrapText="1"/>
    </xf>
    <xf numFmtId="0" fontId="15" fillId="0" borderId="0" xfId="0" applyFont="1" applyAlignment="1">
      <alignment horizontal="right" vertical="center" wrapText="1"/>
    </xf>
    <xf numFmtId="0" fontId="38" fillId="6" borderId="4" xfId="0" applyFont="1" applyFill="1" applyBorder="1" applyAlignment="1">
      <alignment horizontal="center" vertical="center" wrapText="1"/>
    </xf>
    <xf numFmtId="0" fontId="39" fillId="6" borderId="4" xfId="0" applyFont="1" applyFill="1" applyBorder="1">
      <alignment vertical="center"/>
    </xf>
    <xf numFmtId="0" fontId="40" fillId="6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13" fillId="0" borderId="7" xfId="0" applyFont="1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3" fontId="9" fillId="0" borderId="5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0" fontId="5" fillId="5" borderId="5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15" xfId="0" applyBorder="1" applyAlignment="1"/>
    <xf numFmtId="0" fontId="5" fillId="4" borderId="5" xfId="0" applyFont="1" applyFill="1" applyBorder="1" applyAlignment="1">
      <alignment horizontal="center" vertical="center"/>
    </xf>
    <xf numFmtId="41" fontId="8" fillId="0" borderId="5" xfId="1" applyFont="1" applyBorder="1" applyAlignment="1">
      <alignment horizontal="center" vertical="center"/>
    </xf>
    <xf numFmtId="0" fontId="0" fillId="0" borderId="12" xfId="0" applyBorder="1" applyAlignment="1"/>
    <xf numFmtId="0" fontId="40" fillId="6" borderId="4" xfId="0" applyFont="1" applyFill="1" applyBorder="1" applyAlignment="1">
      <alignment horizontal="left" vertical="center" wrapText="1"/>
    </xf>
    <xf numFmtId="0" fontId="0" fillId="0" borderId="4" xfId="0" applyBorder="1" applyAlignment="1"/>
    <xf numFmtId="0" fontId="18" fillId="0" borderId="14" xfId="0" applyFont="1" applyBorder="1" applyAlignment="1">
      <alignment horizontal="right" vertical="center"/>
    </xf>
    <xf numFmtId="0" fontId="0" fillId="0" borderId="14" xfId="0" applyBorder="1" applyAlignment="1"/>
    <xf numFmtId="0" fontId="38" fillId="6" borderId="4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15" fillId="2" borderId="2" xfId="0" applyFont="1" applyFill="1" applyBorder="1" applyAlignment="1">
      <alignment horizontal="justify" vertical="center" wrapText="1"/>
    </xf>
    <xf numFmtId="0" fontId="18" fillId="2" borderId="2" xfId="0" applyFont="1" applyFill="1" applyBorder="1" applyAlignment="1">
      <alignment horizontal="justify" vertical="center" wrapText="1"/>
    </xf>
    <xf numFmtId="0" fontId="28" fillId="0" borderId="0" xfId="0" applyFont="1" applyAlignment="1">
      <alignment horizontal="left" vertical="center"/>
    </xf>
    <xf numFmtId="41" fontId="16" fillId="0" borderId="0" xfId="1" applyFont="1">
      <alignment vertical="center"/>
    </xf>
    <xf numFmtId="0" fontId="16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18" fillId="6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4">
    <cellStyle name="60% - 강조색4" xfId="3" builtinId="44"/>
    <cellStyle name="백분율" xfId="2" builtinId="5"/>
    <cellStyle name="쉼표 [0]" xfId="1" builtinId="6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8"/>
  <sheetViews>
    <sheetView tabSelected="1" zoomScaleNormal="100" workbookViewId="0">
      <selection activeCell="C14" sqref="C14"/>
    </sheetView>
  </sheetViews>
  <sheetFormatPr defaultColWidth="9" defaultRowHeight="17"/>
  <cols>
    <col min="1" max="1" width="3.25" style="28" customWidth="1"/>
    <col min="2" max="2" width="5.33203125" style="28" customWidth="1"/>
    <col min="3" max="3" width="28.58203125" style="37" customWidth="1"/>
    <col min="4" max="4" width="13.25" style="28" customWidth="1"/>
    <col min="5" max="5" width="3.75" style="28" customWidth="1"/>
    <col min="6" max="6" width="6.25" style="28" customWidth="1"/>
    <col min="7" max="8" width="3.75" style="28" customWidth="1"/>
    <col min="9" max="9" width="6.25" style="28" customWidth="1"/>
    <col min="10" max="11" width="3.75" style="28" customWidth="1"/>
    <col min="12" max="12" width="6.25" style="28" customWidth="1"/>
    <col min="13" max="14" width="3.75" style="28" customWidth="1"/>
    <col min="15" max="15" width="13.5" style="28" customWidth="1"/>
    <col min="16" max="16" width="10.58203125" style="28" customWidth="1"/>
    <col min="17" max="17" width="31.83203125" style="28" customWidth="1"/>
    <col min="18" max="18" width="6.25" style="28" customWidth="1"/>
    <col min="19" max="19" width="7.58203125" style="28" customWidth="1"/>
    <col min="20" max="20" width="9" style="28" customWidth="1"/>
    <col min="21" max="21" width="16" style="28" customWidth="1"/>
    <col min="22" max="22" width="19.08203125" style="28" customWidth="1"/>
    <col min="23" max="23" width="18.25" style="28" customWidth="1"/>
    <col min="24" max="24" width="9" style="28" customWidth="1"/>
    <col min="25" max="16384" width="9" style="28"/>
  </cols>
  <sheetData>
    <row r="1" spans="1:23" ht="25.5" customHeight="1">
      <c r="B1" s="181" t="s">
        <v>37</v>
      </c>
      <c r="C1" s="174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83" t="s">
        <v>38</v>
      </c>
      <c r="S1" s="175"/>
      <c r="T1" s="184" t="s">
        <v>39</v>
      </c>
      <c r="U1" s="175"/>
      <c r="V1" s="175"/>
      <c r="W1" s="175"/>
    </row>
    <row r="2" spans="1:23" ht="16.5" customHeight="1">
      <c r="B2" s="173" t="s">
        <v>165</v>
      </c>
      <c r="C2" s="174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T2" s="178" t="s">
        <v>40</v>
      </c>
      <c r="U2" s="158"/>
      <c r="V2" s="142" t="s">
        <v>41</v>
      </c>
      <c r="W2" s="142" t="s">
        <v>42</v>
      </c>
    </row>
    <row r="3" spans="1:23">
      <c r="B3" s="173" t="s">
        <v>43</v>
      </c>
      <c r="C3" s="174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T3" s="168" t="s">
        <v>44</v>
      </c>
      <c r="U3" s="138" t="s">
        <v>45</v>
      </c>
      <c r="V3" s="140">
        <f>O10</f>
        <v>0</v>
      </c>
      <c r="W3" s="139">
        <f>IFERROR(V3/V9,"-")</f>
        <v>0</v>
      </c>
    </row>
    <row r="4" spans="1:23">
      <c r="B4" s="182"/>
      <c r="C4" s="174"/>
      <c r="F4" s="30"/>
      <c r="G4" s="30"/>
      <c r="H4" s="30"/>
      <c r="I4" s="30"/>
      <c r="J4" s="30"/>
      <c r="K4" s="30"/>
      <c r="L4" s="30"/>
      <c r="M4" s="30"/>
      <c r="N4" s="30"/>
      <c r="O4" s="31"/>
      <c r="P4" s="30"/>
      <c r="Q4" s="30"/>
      <c r="T4" s="161"/>
      <c r="U4" s="138" t="s">
        <v>46</v>
      </c>
      <c r="V4" s="140">
        <f>O17</f>
        <v>0</v>
      </c>
      <c r="W4" s="139">
        <f t="shared" ref="W4:W9" si="0">IFERROR(V4/$V$9,"-")</f>
        <v>0</v>
      </c>
    </row>
    <row r="5" spans="1:23">
      <c r="B5" s="32" t="s">
        <v>47</v>
      </c>
      <c r="C5" s="33"/>
      <c r="K5" s="34"/>
      <c r="L5" s="164" t="s">
        <v>48</v>
      </c>
      <c r="M5" s="165"/>
      <c r="N5" s="165"/>
      <c r="O5" s="35">
        <v>1500</v>
      </c>
      <c r="P5" s="30" t="s">
        <v>49</v>
      </c>
      <c r="T5" s="161"/>
      <c r="U5" s="138" t="s">
        <v>50</v>
      </c>
      <c r="V5" s="140">
        <f>O26</f>
        <v>0</v>
      </c>
      <c r="W5" s="139">
        <f t="shared" si="0"/>
        <v>0</v>
      </c>
    </row>
    <row r="6" spans="1:23" ht="25.5" customHeight="1" thickBot="1">
      <c r="B6" s="166" t="s">
        <v>51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45" t="s">
        <v>52</v>
      </c>
      <c r="P6" s="146"/>
      <c r="Q6" s="145" t="s">
        <v>53</v>
      </c>
      <c r="T6" s="161"/>
      <c r="U6" s="138" t="s">
        <v>54</v>
      </c>
      <c r="V6" s="140">
        <f>O31</f>
        <v>9433962</v>
      </c>
      <c r="W6" s="139">
        <f t="shared" si="0"/>
        <v>0.94339622641509424</v>
      </c>
    </row>
    <row r="7" spans="1:23" ht="21.75" customHeight="1">
      <c r="B7" s="36" t="s">
        <v>55</v>
      </c>
      <c r="O7" s="38">
        <f>O10+O17+O26+O31+O76</f>
        <v>9433962</v>
      </c>
      <c r="T7" s="155"/>
      <c r="U7" s="138" t="s">
        <v>56</v>
      </c>
      <c r="V7" s="140">
        <f>O76</f>
        <v>0</v>
      </c>
      <c r="W7" s="139">
        <f t="shared" si="0"/>
        <v>0</v>
      </c>
    </row>
    <row r="8" spans="1:23" ht="18" customHeight="1">
      <c r="T8" s="179" t="s">
        <v>57</v>
      </c>
      <c r="U8" s="158"/>
      <c r="V8" s="140">
        <f>O84</f>
        <v>566037.72</v>
      </c>
      <c r="W8" s="139">
        <f t="shared" si="0"/>
        <v>5.6603773584905655E-2</v>
      </c>
    </row>
    <row r="9" spans="1:23" ht="18" customHeight="1">
      <c r="B9" s="171" t="s">
        <v>58</v>
      </c>
      <c r="C9" s="170"/>
      <c r="D9" s="170"/>
      <c r="E9" s="170"/>
      <c r="F9" s="170"/>
      <c r="G9" s="170"/>
      <c r="H9" s="170"/>
      <c r="I9" s="170"/>
      <c r="J9" s="170"/>
      <c r="K9" s="39"/>
      <c r="L9" s="39"/>
      <c r="M9" s="39"/>
      <c r="N9" s="39"/>
      <c r="O9" s="40" t="s">
        <v>52</v>
      </c>
      <c r="P9" s="41" t="s">
        <v>59</v>
      </c>
      <c r="Q9" s="42"/>
      <c r="T9" s="168" t="s">
        <v>60</v>
      </c>
      <c r="U9" s="158"/>
      <c r="V9" s="141">
        <f>SUM(V3:V8)</f>
        <v>9999999.7200000007</v>
      </c>
      <c r="W9" s="139">
        <f t="shared" si="0"/>
        <v>1</v>
      </c>
    </row>
    <row r="10" spans="1:23" ht="18" customHeight="1">
      <c r="A10" s="43"/>
      <c r="B10" s="36" t="s">
        <v>61</v>
      </c>
      <c r="C10" s="44"/>
      <c r="D10" s="44"/>
      <c r="E10" s="44"/>
      <c r="F10" s="44"/>
      <c r="G10" s="43"/>
      <c r="H10" s="44"/>
      <c r="I10" s="43"/>
      <c r="J10" s="44"/>
      <c r="K10" s="44"/>
      <c r="L10" s="43"/>
      <c r="M10" s="44"/>
      <c r="N10" s="44"/>
      <c r="O10" s="129">
        <f>SUM(O12:O14)</f>
        <v>0</v>
      </c>
      <c r="P10" s="45">
        <f>IFERROR(O10/$O$7,"-")</f>
        <v>0</v>
      </c>
      <c r="Q10" s="46" t="s">
        <v>62</v>
      </c>
      <c r="R10" s="43"/>
      <c r="S10" s="43"/>
      <c r="T10" s="43"/>
      <c r="U10" s="43"/>
      <c r="V10" s="43"/>
      <c r="W10" s="43"/>
    </row>
    <row r="11" spans="1:23" s="43" customFormat="1" ht="18" customHeight="1">
      <c r="C11" s="47" t="s">
        <v>63</v>
      </c>
      <c r="D11" s="48" t="s">
        <v>64</v>
      </c>
      <c r="F11" s="29" t="s">
        <v>65</v>
      </c>
      <c r="H11" s="29"/>
      <c r="I11" s="49" t="s">
        <v>66</v>
      </c>
      <c r="K11" s="50"/>
      <c r="L11" s="43" t="s">
        <v>67</v>
      </c>
      <c r="M11" s="49"/>
      <c r="N11" s="50"/>
      <c r="O11" s="51"/>
      <c r="P11" s="50"/>
    </row>
    <row r="12" spans="1:23" s="43" customFormat="1" ht="18" customHeight="1">
      <c r="A12" s="28"/>
      <c r="B12" s="52"/>
      <c r="C12" s="121" t="s">
        <v>6</v>
      </c>
      <c r="D12" s="53">
        <f>마스터!C4</f>
        <v>5802624</v>
      </c>
      <c r="E12" s="47" t="s">
        <v>68</v>
      </c>
      <c r="F12" s="123">
        <v>0.1</v>
      </c>
      <c r="G12" s="28" t="s">
        <v>69</v>
      </c>
      <c r="H12" s="47" t="s">
        <v>68</v>
      </c>
      <c r="I12" s="122">
        <v>0</v>
      </c>
      <c r="J12" s="28" t="s">
        <v>70</v>
      </c>
      <c r="K12" s="47" t="s">
        <v>68</v>
      </c>
      <c r="L12" s="122">
        <v>0</v>
      </c>
      <c r="M12" s="28" t="s">
        <v>71</v>
      </c>
      <c r="N12" s="54" t="s">
        <v>72</v>
      </c>
      <c r="O12" s="55">
        <f>D12*F12*I12*L12</f>
        <v>0</v>
      </c>
      <c r="P12" s="56"/>
      <c r="Q12" s="57"/>
      <c r="R12" s="28"/>
      <c r="S12" s="28"/>
      <c r="T12" s="28"/>
      <c r="U12" s="28"/>
      <c r="V12" s="28"/>
      <c r="W12" s="28"/>
    </row>
    <row r="13" spans="1:23" ht="18" customHeight="1">
      <c r="B13" s="52"/>
      <c r="C13" s="121" t="s">
        <v>7</v>
      </c>
      <c r="D13" s="53">
        <f>마스터!C5</f>
        <v>3878858</v>
      </c>
      <c r="E13" s="47" t="s">
        <v>68</v>
      </c>
      <c r="F13" s="123">
        <v>0.05</v>
      </c>
      <c r="G13" s="28" t="s">
        <v>69</v>
      </c>
      <c r="H13" s="47" t="s">
        <v>68</v>
      </c>
      <c r="I13" s="122">
        <v>0</v>
      </c>
      <c r="J13" s="28" t="s">
        <v>70</v>
      </c>
      <c r="K13" s="47" t="s">
        <v>68</v>
      </c>
      <c r="L13" s="122">
        <v>0</v>
      </c>
      <c r="M13" s="28" t="s">
        <v>71</v>
      </c>
      <c r="N13" s="54" t="s">
        <v>72</v>
      </c>
      <c r="O13" s="55">
        <f>D13*F13*I13*L13</f>
        <v>0</v>
      </c>
      <c r="P13" s="56"/>
      <c r="Q13" s="57"/>
    </row>
    <row r="14" spans="1:23" ht="18" customHeight="1">
      <c r="B14" s="52"/>
      <c r="C14" s="121" t="s">
        <v>8</v>
      </c>
      <c r="D14" s="58">
        <f>마스터!C6</f>
        <v>2909242</v>
      </c>
      <c r="E14" s="47" t="s">
        <v>68</v>
      </c>
      <c r="F14" s="123">
        <v>0.05</v>
      </c>
      <c r="G14" s="28" t="s">
        <v>69</v>
      </c>
      <c r="H14" s="47" t="s">
        <v>68</v>
      </c>
      <c r="I14" s="122">
        <v>0</v>
      </c>
      <c r="J14" s="28" t="s">
        <v>70</v>
      </c>
      <c r="K14" s="47" t="s">
        <v>68</v>
      </c>
      <c r="L14" s="122">
        <v>0</v>
      </c>
      <c r="M14" s="28" t="s">
        <v>71</v>
      </c>
      <c r="N14" s="54" t="s">
        <v>72</v>
      </c>
      <c r="O14" s="55">
        <f>D14*F14*I14*L14</f>
        <v>0</v>
      </c>
      <c r="P14" s="59"/>
      <c r="Q14" s="57"/>
    </row>
    <row r="15" spans="1:23" ht="18" customHeight="1">
      <c r="B15" s="59"/>
      <c r="C15" s="60"/>
      <c r="D15" s="61"/>
      <c r="E15" s="62"/>
      <c r="F15" s="62"/>
      <c r="G15" s="62"/>
      <c r="H15" s="62"/>
      <c r="I15" s="62"/>
      <c r="J15" s="63"/>
      <c r="K15" s="62"/>
      <c r="L15" s="62"/>
      <c r="M15" s="63"/>
      <c r="N15" s="62"/>
      <c r="O15" s="64"/>
      <c r="P15" s="63"/>
    </row>
    <row r="16" spans="1:23" ht="18" customHeight="1">
      <c r="B16" s="169" t="s">
        <v>73</v>
      </c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40" t="s">
        <v>52</v>
      </c>
      <c r="P16" s="40" t="s">
        <v>59</v>
      </c>
      <c r="Q16" s="42"/>
    </row>
    <row r="17" spans="1:23" ht="18" customHeight="1">
      <c r="B17" s="180" t="s">
        <v>74</v>
      </c>
      <c r="C17" s="177"/>
      <c r="D17" s="177"/>
      <c r="E17" s="177"/>
      <c r="F17" s="177"/>
      <c r="G17" s="177"/>
      <c r="H17" s="177"/>
      <c r="I17" s="177"/>
      <c r="J17" s="177"/>
      <c r="K17" s="177"/>
      <c r="L17" s="65"/>
      <c r="M17" s="65"/>
      <c r="N17" s="65"/>
      <c r="O17" s="130">
        <f>O18+O22</f>
        <v>0</v>
      </c>
      <c r="P17" s="14">
        <f>IFERROR(O17/$O$7,"-")</f>
        <v>0</v>
      </c>
      <c r="Q17" s="46" t="s">
        <v>75</v>
      </c>
    </row>
    <row r="18" spans="1:23" ht="18" customHeight="1">
      <c r="B18" s="66" t="s">
        <v>76</v>
      </c>
      <c r="C18" s="67"/>
      <c r="D18" s="29" t="s">
        <v>77</v>
      </c>
      <c r="E18" s="50"/>
      <c r="F18" s="49"/>
      <c r="G18" s="50"/>
      <c r="H18" s="50"/>
      <c r="I18" s="50"/>
      <c r="J18" s="50"/>
      <c r="K18" s="69"/>
      <c r="L18" s="67"/>
      <c r="M18" s="67"/>
      <c r="N18" s="67"/>
      <c r="O18" s="70">
        <f>SUM(O19:O21)</f>
        <v>0</v>
      </c>
      <c r="P18" s="71">
        <f>IFERROR(O18/$O$7,"-")</f>
        <v>0</v>
      </c>
    </row>
    <row r="19" spans="1:23" ht="18" customHeight="1">
      <c r="B19" s="65"/>
      <c r="C19" s="121" t="s">
        <v>78</v>
      </c>
      <c r="D19" s="122">
        <v>0</v>
      </c>
      <c r="E19" s="47" t="s">
        <v>68</v>
      </c>
      <c r="F19" s="122"/>
      <c r="G19" s="54" t="s">
        <v>79</v>
      </c>
      <c r="H19" s="65"/>
      <c r="I19" s="65"/>
      <c r="J19" s="65"/>
      <c r="L19" s="65"/>
      <c r="M19" s="65"/>
      <c r="N19" s="54" t="s">
        <v>72</v>
      </c>
      <c r="O19" s="72">
        <f>D19*F19</f>
        <v>0</v>
      </c>
      <c r="P19" s="45"/>
    </row>
    <row r="20" spans="1:23" ht="18" customHeight="1">
      <c r="B20" s="65"/>
      <c r="C20" s="121" t="s">
        <v>80</v>
      </c>
      <c r="D20" s="122">
        <v>0</v>
      </c>
      <c r="E20" s="47" t="s">
        <v>68</v>
      </c>
      <c r="F20" s="122"/>
      <c r="G20" s="54" t="s">
        <v>79</v>
      </c>
      <c r="H20" s="65"/>
      <c r="I20" s="65"/>
      <c r="J20" s="65"/>
      <c r="L20" s="65"/>
      <c r="M20" s="65"/>
      <c r="N20" s="54" t="s">
        <v>72</v>
      </c>
      <c r="O20" s="72">
        <f>D20*F20</f>
        <v>0</v>
      </c>
      <c r="P20" s="45"/>
    </row>
    <row r="21" spans="1:23" ht="18" customHeight="1">
      <c r="B21" s="65"/>
      <c r="C21" s="121" t="s">
        <v>81</v>
      </c>
      <c r="D21" s="122">
        <v>0</v>
      </c>
      <c r="E21" s="47" t="s">
        <v>68</v>
      </c>
      <c r="F21" s="122"/>
      <c r="G21" s="54" t="s">
        <v>79</v>
      </c>
      <c r="H21" s="65"/>
      <c r="I21" s="65"/>
      <c r="J21" s="65"/>
      <c r="L21" s="65"/>
      <c r="M21" s="65"/>
      <c r="N21" s="54" t="s">
        <v>72</v>
      </c>
      <c r="O21" s="72">
        <f>D21*F21</f>
        <v>0</v>
      </c>
      <c r="P21" s="45"/>
    </row>
    <row r="22" spans="1:23" ht="18" customHeight="1">
      <c r="B22" s="73" t="s">
        <v>82</v>
      </c>
      <c r="C22" s="67"/>
      <c r="D22" s="68"/>
      <c r="E22" s="50"/>
      <c r="F22" s="50"/>
      <c r="G22" s="50"/>
      <c r="H22" s="50"/>
      <c r="I22" s="50"/>
      <c r="J22" s="50"/>
      <c r="K22" s="69"/>
      <c r="L22" s="67"/>
      <c r="M22" s="67"/>
      <c r="N22" s="67"/>
      <c r="O22" s="70">
        <f>SUM(O23)</f>
        <v>0</v>
      </c>
      <c r="P22" s="71">
        <f>IFERROR(O22/O87,"-")</f>
        <v>0</v>
      </c>
      <c r="Q22" s="29" t="s">
        <v>83</v>
      </c>
    </row>
    <row r="23" spans="1:23" ht="18" customHeight="1">
      <c r="B23" s="65"/>
      <c r="C23" s="121" t="s">
        <v>84</v>
      </c>
      <c r="D23" s="120"/>
      <c r="E23" s="47" t="s">
        <v>68</v>
      </c>
      <c r="F23" s="122"/>
      <c r="G23" s="54" t="s">
        <v>79</v>
      </c>
      <c r="H23" s="65"/>
      <c r="I23" s="65"/>
      <c r="J23" s="65"/>
      <c r="L23" s="65"/>
      <c r="M23" s="65"/>
      <c r="N23" s="54" t="s">
        <v>72</v>
      </c>
      <c r="O23" s="72">
        <f>D23*F23</f>
        <v>0</v>
      </c>
      <c r="P23" s="13">
        <f>IFERROR(O23/$O$7,"-")</f>
        <v>0</v>
      </c>
    </row>
    <row r="24" spans="1:23" ht="18" customHeight="1">
      <c r="B24" s="59"/>
      <c r="C24" s="60"/>
      <c r="D24" s="67"/>
      <c r="E24" s="47"/>
      <c r="F24" s="67"/>
      <c r="G24" s="67"/>
      <c r="H24" s="47"/>
      <c r="I24" s="67"/>
      <c r="J24" s="67"/>
      <c r="K24" s="54"/>
      <c r="L24" s="65"/>
      <c r="M24" s="65"/>
      <c r="N24" s="65"/>
      <c r="O24" s="74"/>
      <c r="P24" s="45"/>
    </row>
    <row r="25" spans="1:23" ht="18" customHeight="1">
      <c r="B25" s="169" t="s">
        <v>85</v>
      </c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40" t="s">
        <v>52</v>
      </c>
      <c r="P25" s="40" t="s">
        <v>59</v>
      </c>
      <c r="Q25" s="42"/>
    </row>
    <row r="26" spans="1:23" ht="18" customHeight="1">
      <c r="B26" s="36" t="s">
        <v>86</v>
      </c>
      <c r="C26" s="67"/>
      <c r="D26" s="29" t="s">
        <v>77</v>
      </c>
      <c r="E26" s="67"/>
      <c r="F26" s="49"/>
      <c r="G26" s="67"/>
      <c r="H26" s="67"/>
      <c r="I26" s="49"/>
      <c r="J26" s="67"/>
      <c r="K26" s="67"/>
      <c r="L26" s="67"/>
      <c r="M26" s="67"/>
      <c r="N26" s="67"/>
      <c r="O26" s="130">
        <f>SUM(O27:O28)</f>
        <v>0</v>
      </c>
      <c r="P26" s="45">
        <f>IFERROR(O26/$O$7,"-")</f>
        <v>0</v>
      </c>
      <c r="Q26" s="46" t="s">
        <v>87</v>
      </c>
    </row>
    <row r="27" spans="1:23" ht="18" customHeight="1">
      <c r="B27" s="65"/>
      <c r="C27" s="59" t="s">
        <v>88</v>
      </c>
      <c r="D27" s="122">
        <v>0</v>
      </c>
      <c r="E27" s="47" t="s">
        <v>68</v>
      </c>
      <c r="F27" s="122">
        <v>0</v>
      </c>
      <c r="G27" s="54" t="s">
        <v>79</v>
      </c>
      <c r="H27" s="47" t="s">
        <v>68</v>
      </c>
      <c r="I27" s="122">
        <v>0</v>
      </c>
      <c r="J27" s="47" t="s">
        <v>89</v>
      </c>
      <c r="L27" s="67"/>
      <c r="M27" s="67"/>
      <c r="N27" s="54" t="s">
        <v>72</v>
      </c>
      <c r="O27" s="72">
        <f>D27*F27*I27</f>
        <v>0</v>
      </c>
      <c r="P27" s="45"/>
      <c r="Q27" s="75" t="s">
        <v>90</v>
      </c>
    </row>
    <row r="28" spans="1:23" ht="18" customHeight="1">
      <c r="B28" s="76"/>
      <c r="C28" s="56"/>
      <c r="D28" s="122">
        <v>0</v>
      </c>
      <c r="E28" s="47" t="s">
        <v>68</v>
      </c>
      <c r="F28" s="122">
        <v>0</v>
      </c>
      <c r="G28" s="54" t="s">
        <v>79</v>
      </c>
      <c r="H28" s="47" t="s">
        <v>68</v>
      </c>
      <c r="I28" s="122">
        <v>0</v>
      </c>
      <c r="J28" s="47" t="s">
        <v>89</v>
      </c>
      <c r="L28" s="67"/>
      <c r="M28" s="67"/>
      <c r="N28" s="54" t="s">
        <v>72</v>
      </c>
      <c r="O28" s="72">
        <f>D28*F28*I28</f>
        <v>0</v>
      </c>
      <c r="P28" s="45"/>
    </row>
    <row r="29" spans="1:23" ht="18" customHeight="1">
      <c r="B29" s="59"/>
      <c r="C29" s="47"/>
      <c r="D29" s="61"/>
      <c r="E29" s="62"/>
      <c r="F29" s="62"/>
      <c r="G29" s="62"/>
      <c r="H29" s="62"/>
      <c r="I29" s="62"/>
      <c r="J29" s="63"/>
      <c r="K29" s="62"/>
      <c r="L29" s="62"/>
      <c r="M29" s="63"/>
      <c r="N29" s="62"/>
      <c r="O29" s="64"/>
      <c r="P29" s="63"/>
    </row>
    <row r="30" spans="1:23" ht="18" customHeight="1">
      <c r="A30" s="77"/>
      <c r="B30" s="172" t="s">
        <v>91</v>
      </c>
      <c r="C30" s="170"/>
      <c r="D30" s="170"/>
      <c r="E30" s="170"/>
      <c r="F30" s="170"/>
      <c r="G30" s="170"/>
      <c r="H30" s="170"/>
      <c r="I30" s="170"/>
      <c r="J30" s="170"/>
      <c r="K30" s="39"/>
      <c r="L30" s="39"/>
      <c r="M30" s="39"/>
      <c r="N30" s="39"/>
      <c r="O30" s="40" t="s">
        <v>52</v>
      </c>
      <c r="P30" s="40" t="s">
        <v>59</v>
      </c>
      <c r="Q30" s="40" t="s">
        <v>53</v>
      </c>
      <c r="R30" s="40" t="s">
        <v>63</v>
      </c>
      <c r="S30" s="77"/>
      <c r="T30" s="77"/>
      <c r="U30" s="77"/>
      <c r="V30" s="77"/>
      <c r="W30" s="77"/>
    </row>
    <row r="31" spans="1:23" s="77" customFormat="1" ht="18" customHeight="1">
      <c r="B31" s="36" t="s">
        <v>92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130">
        <f>O38+O32+O49+O63+O57+O69+O54+O46</f>
        <v>9433962</v>
      </c>
      <c r="P31" s="45">
        <f>IFERROR(O31/$O$7,"-")</f>
        <v>1</v>
      </c>
      <c r="Q31" s="46" t="s">
        <v>93</v>
      </c>
    </row>
    <row r="32" spans="1:23" s="77" customFormat="1" ht="18" customHeight="1">
      <c r="B32" s="66" t="s">
        <v>94</v>
      </c>
      <c r="C32" s="67"/>
      <c r="D32" s="78" t="s">
        <v>95</v>
      </c>
      <c r="E32" s="47"/>
      <c r="F32" s="47"/>
      <c r="G32" s="54"/>
      <c r="H32" s="47"/>
      <c r="I32" s="47"/>
      <c r="J32" s="54"/>
      <c r="K32" s="67"/>
      <c r="L32" s="67"/>
      <c r="M32" s="67"/>
      <c r="N32" s="67"/>
      <c r="O32" s="131">
        <f>SUM(O33:O37)</f>
        <v>1200000</v>
      </c>
      <c r="P32" s="128">
        <f>IFERROR(O32/$O$7,"-")</f>
        <v>0.12720000356160011</v>
      </c>
      <c r="Q32" s="46" t="s">
        <v>96</v>
      </c>
    </row>
    <row r="33" spans="1:23" s="77" customFormat="1" ht="18" customHeight="1">
      <c r="A33" s="32"/>
      <c r="B33" s="86"/>
      <c r="C33" s="59" t="s">
        <v>97</v>
      </c>
      <c r="D33" s="122">
        <v>50000</v>
      </c>
      <c r="E33" s="54" t="s">
        <v>68</v>
      </c>
      <c r="F33" s="122">
        <v>2</v>
      </c>
      <c r="G33" s="54" t="s">
        <v>70</v>
      </c>
      <c r="H33" s="54" t="s">
        <v>68</v>
      </c>
      <c r="I33" s="122">
        <v>4</v>
      </c>
      <c r="J33" s="54" t="s">
        <v>89</v>
      </c>
      <c r="K33" s="54"/>
      <c r="L33" s="67"/>
      <c r="M33" s="67"/>
      <c r="N33" s="54" t="s">
        <v>72</v>
      </c>
      <c r="O33" s="81">
        <f>D33*F33*I33</f>
        <v>400000</v>
      </c>
      <c r="P33" s="50"/>
      <c r="Q33" s="85" t="s">
        <v>98</v>
      </c>
    </row>
    <row r="34" spans="1:23" s="77" customFormat="1" ht="18" customHeight="1">
      <c r="B34" s="79"/>
      <c r="C34" s="59" t="s">
        <v>99</v>
      </c>
      <c r="D34" s="122">
        <v>0</v>
      </c>
      <c r="E34" s="54" t="s">
        <v>68</v>
      </c>
      <c r="F34" s="122">
        <v>0</v>
      </c>
      <c r="G34" s="54" t="s">
        <v>70</v>
      </c>
      <c r="H34" s="54" t="s">
        <v>68</v>
      </c>
      <c r="I34" s="122">
        <v>0</v>
      </c>
      <c r="J34" s="54" t="s">
        <v>100</v>
      </c>
      <c r="K34" s="54"/>
      <c r="L34" s="67"/>
      <c r="M34" s="67"/>
      <c r="N34" s="54" t="s">
        <v>72</v>
      </c>
      <c r="O34" s="81">
        <f>D34*F34*I34</f>
        <v>0</v>
      </c>
      <c r="P34" s="50"/>
      <c r="Q34" s="85" t="s">
        <v>98</v>
      </c>
      <c r="R34" s="136" t="s">
        <v>101</v>
      </c>
      <c r="T34" s="83"/>
    </row>
    <row r="35" spans="1:23" s="77" customFormat="1" ht="18" customHeight="1">
      <c r="B35" s="79"/>
      <c r="C35" s="59" t="s">
        <v>102</v>
      </c>
      <c r="D35" s="137">
        <f>VLOOKUP(R35,마스터!$C$10:$E$15,3,FALSE)</f>
        <v>100000</v>
      </c>
      <c r="E35" s="54" t="s">
        <v>68</v>
      </c>
      <c r="F35" s="122">
        <v>2</v>
      </c>
      <c r="G35" s="54" t="s">
        <v>70</v>
      </c>
      <c r="H35" s="54" t="s">
        <v>68</v>
      </c>
      <c r="I35" s="122">
        <v>2</v>
      </c>
      <c r="J35" s="54" t="s">
        <v>100</v>
      </c>
      <c r="K35" s="54"/>
      <c r="L35" s="67"/>
      <c r="M35" s="67"/>
      <c r="N35" s="54" t="s">
        <v>72</v>
      </c>
      <c r="O35" s="81">
        <f>D35*F35*I35</f>
        <v>400000</v>
      </c>
      <c r="P35" s="50"/>
      <c r="Q35" s="87"/>
      <c r="R35" s="122" t="s">
        <v>21</v>
      </c>
      <c r="S35" s="88"/>
    </row>
    <row r="36" spans="1:23" s="77" customFormat="1" ht="18" customHeight="1">
      <c r="B36" s="79"/>
      <c r="C36" s="59" t="s">
        <v>103</v>
      </c>
      <c r="D36" s="80">
        <v>25000</v>
      </c>
      <c r="E36" s="54" t="s">
        <v>68</v>
      </c>
      <c r="F36" s="122">
        <v>2</v>
      </c>
      <c r="G36" s="54" t="s">
        <v>70</v>
      </c>
      <c r="H36" s="54" t="s">
        <v>68</v>
      </c>
      <c r="I36" s="122">
        <v>4</v>
      </c>
      <c r="J36" s="54" t="s">
        <v>104</v>
      </c>
      <c r="K36" s="54"/>
      <c r="L36" s="67"/>
      <c r="M36" s="67"/>
      <c r="N36" s="54" t="s">
        <v>72</v>
      </c>
      <c r="O36" s="81">
        <f>D36*F36*I36</f>
        <v>200000</v>
      </c>
      <c r="P36" s="50"/>
      <c r="Q36" s="82"/>
      <c r="T36" s="83"/>
      <c r="U36" s="83"/>
      <c r="V36" s="84"/>
    </row>
    <row r="37" spans="1:23" s="77" customFormat="1" ht="18" customHeight="1">
      <c r="B37" s="79"/>
      <c r="C37" s="59" t="s">
        <v>105</v>
      </c>
      <c r="D37" s="53">
        <v>25000</v>
      </c>
      <c r="E37" s="54" t="s">
        <v>68</v>
      </c>
      <c r="F37" s="122">
        <v>2</v>
      </c>
      <c r="G37" s="54" t="s">
        <v>70</v>
      </c>
      <c r="H37" s="54" t="s">
        <v>68</v>
      </c>
      <c r="I37" s="122">
        <v>4</v>
      </c>
      <c r="J37" s="54" t="s">
        <v>104</v>
      </c>
      <c r="K37" s="54"/>
      <c r="L37" s="67"/>
      <c r="M37" s="67"/>
      <c r="N37" s="54" t="s">
        <v>72</v>
      </c>
      <c r="O37" s="81">
        <f>D37*F37*I37</f>
        <v>200000</v>
      </c>
      <c r="P37" s="50"/>
      <c r="Q37" s="28"/>
      <c r="R37" s="122" t="s">
        <v>23</v>
      </c>
      <c r="T37" s="28"/>
      <c r="U37" s="28"/>
      <c r="V37" s="28"/>
      <c r="W37" s="28"/>
    </row>
    <row r="38" spans="1:23" s="77" customFormat="1" ht="18" customHeight="1">
      <c r="B38" s="66" t="s">
        <v>106</v>
      </c>
      <c r="C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132">
        <f>SUM(O42:O45)</f>
        <v>0</v>
      </c>
      <c r="P38" s="89">
        <f>IFERROR(O38/$O$7,"-")</f>
        <v>0</v>
      </c>
      <c r="Q38" s="82" t="s">
        <v>83</v>
      </c>
      <c r="T38" s="28"/>
      <c r="U38" s="28"/>
      <c r="V38" s="28"/>
      <c r="W38" s="28"/>
    </row>
    <row r="39" spans="1:23" s="77" customFormat="1" ht="18" customHeight="1">
      <c r="B39" s="79"/>
      <c r="C39" s="59" t="s">
        <v>107</v>
      </c>
      <c r="D39" s="122">
        <v>0</v>
      </c>
      <c r="E39" s="47" t="s">
        <v>68</v>
      </c>
      <c r="F39" s="122">
        <v>0</v>
      </c>
      <c r="G39" s="54" t="s">
        <v>70</v>
      </c>
      <c r="H39" s="47" t="s">
        <v>68</v>
      </c>
      <c r="I39" s="122">
        <v>0</v>
      </c>
      <c r="J39" s="54" t="s">
        <v>89</v>
      </c>
      <c r="L39" s="67"/>
      <c r="M39" s="67"/>
      <c r="N39" s="54" t="s">
        <v>72</v>
      </c>
      <c r="O39" s="81">
        <f>D39*F39*I39</f>
        <v>0</v>
      </c>
      <c r="P39" s="50"/>
      <c r="Q39" s="85" t="s">
        <v>98</v>
      </c>
      <c r="R39" s="136" t="s">
        <v>108</v>
      </c>
    </row>
    <row r="40" spans="1:23" s="77" customFormat="1" ht="18" customHeight="1">
      <c r="C40" s="59" t="s">
        <v>109</v>
      </c>
      <c r="D40" s="53">
        <f>VLOOKUP($R$40,마스터!$C$19:$F$34,3,FALSE)</f>
        <v>389</v>
      </c>
      <c r="E40" s="47" t="s">
        <v>68</v>
      </c>
      <c r="F40" s="122">
        <v>0</v>
      </c>
      <c r="G40" s="54" t="s">
        <v>70</v>
      </c>
      <c r="H40" s="47" t="s">
        <v>68</v>
      </c>
      <c r="I40" s="122">
        <v>0</v>
      </c>
      <c r="J40" s="54" t="s">
        <v>100</v>
      </c>
      <c r="K40" s="47" t="s">
        <v>68</v>
      </c>
      <c r="L40" s="53">
        <f>O5</f>
        <v>1500</v>
      </c>
      <c r="M40" s="135" t="s">
        <v>110</v>
      </c>
      <c r="N40" s="54" t="s">
        <v>72</v>
      </c>
      <c r="O40" s="81">
        <f t="shared" ref="O40:O45" si="1">D40*F40*I40*L40</f>
        <v>0</v>
      </c>
      <c r="P40" s="50"/>
      <c r="Q40" s="82"/>
      <c r="R40" s="122">
        <v>1</v>
      </c>
    </row>
    <row r="41" spans="1:23" s="77" customFormat="1" ht="18" customHeight="1">
      <c r="C41" s="59" t="s">
        <v>102</v>
      </c>
      <c r="D41" s="53">
        <f>VLOOKUP($R$41,마스터!$C$19:$F$34,2,FALSE)</f>
        <v>30</v>
      </c>
      <c r="E41" s="47" t="s">
        <v>68</v>
      </c>
      <c r="F41" s="122">
        <v>0</v>
      </c>
      <c r="G41" s="54" t="s">
        <v>70</v>
      </c>
      <c r="H41" s="47" t="s">
        <v>68</v>
      </c>
      <c r="I41" s="122">
        <v>0</v>
      </c>
      <c r="J41" s="54" t="s">
        <v>100</v>
      </c>
      <c r="K41" s="47" t="s">
        <v>68</v>
      </c>
      <c r="L41" s="53">
        <f>O5</f>
        <v>1500</v>
      </c>
      <c r="M41" s="135" t="s">
        <v>110</v>
      </c>
      <c r="N41" s="54" t="s">
        <v>72</v>
      </c>
      <c r="O41" s="81">
        <f t="shared" si="1"/>
        <v>0</v>
      </c>
      <c r="P41" s="50"/>
      <c r="Q41" s="82"/>
      <c r="R41" s="122">
        <v>8</v>
      </c>
    </row>
    <row r="42" spans="1:23" s="77" customFormat="1" ht="18" customHeight="1">
      <c r="B42" s="79"/>
      <c r="C42" s="59" t="s">
        <v>111</v>
      </c>
      <c r="D42" s="53">
        <f>VLOOKUP($R$40,마스터!$C$19:$F$34,2,FALSE)</f>
        <v>50</v>
      </c>
      <c r="E42" s="47" t="s">
        <v>68</v>
      </c>
      <c r="F42" s="122">
        <v>0</v>
      </c>
      <c r="G42" s="54" t="s">
        <v>70</v>
      </c>
      <c r="H42" s="47" t="s">
        <v>68</v>
      </c>
      <c r="I42" s="122">
        <v>0</v>
      </c>
      <c r="J42" s="54" t="s">
        <v>104</v>
      </c>
      <c r="K42" s="47" t="s">
        <v>68</v>
      </c>
      <c r="L42" s="53">
        <f>O5</f>
        <v>1500</v>
      </c>
      <c r="M42" s="135" t="s">
        <v>110</v>
      </c>
      <c r="N42" s="54" t="s">
        <v>72</v>
      </c>
      <c r="O42" s="81">
        <f t="shared" si="1"/>
        <v>0</v>
      </c>
      <c r="P42" s="50"/>
      <c r="Q42" s="82" t="s">
        <v>112</v>
      </c>
    </row>
    <row r="43" spans="1:23" s="77" customFormat="1" ht="18" customHeight="1">
      <c r="B43" s="79"/>
      <c r="C43" s="59" t="s">
        <v>113</v>
      </c>
      <c r="D43" s="53">
        <f>VLOOKUP($R$41,마스터!$C$19:$F$34,2,FALSE)</f>
        <v>30</v>
      </c>
      <c r="E43" s="47" t="s">
        <v>68</v>
      </c>
      <c r="F43" s="122">
        <v>0</v>
      </c>
      <c r="G43" s="54" t="s">
        <v>70</v>
      </c>
      <c r="H43" s="47" t="s">
        <v>68</v>
      </c>
      <c r="I43" s="122">
        <v>0</v>
      </c>
      <c r="J43" s="54" t="s">
        <v>104</v>
      </c>
      <c r="K43" s="47" t="s">
        <v>68</v>
      </c>
      <c r="L43" s="53">
        <f>O5</f>
        <v>1500</v>
      </c>
      <c r="M43" s="135" t="s">
        <v>110</v>
      </c>
      <c r="N43" s="54" t="s">
        <v>72</v>
      </c>
      <c r="O43" s="81">
        <f t="shared" si="1"/>
        <v>0</v>
      </c>
      <c r="P43" s="50"/>
      <c r="Q43" s="29"/>
    </row>
    <row r="44" spans="1:23" s="77" customFormat="1" ht="18" customHeight="1">
      <c r="B44" s="79"/>
      <c r="C44" s="59" t="s">
        <v>114</v>
      </c>
      <c r="D44" s="53">
        <f>VLOOKUP($R$40,마스터!$C$19:$F$34,4,FALSE)</f>
        <v>160</v>
      </c>
      <c r="E44" s="47" t="s">
        <v>68</v>
      </c>
      <c r="F44" s="122">
        <v>0</v>
      </c>
      <c r="G44" s="54" t="s">
        <v>70</v>
      </c>
      <c r="H44" s="47" t="s">
        <v>68</v>
      </c>
      <c r="I44" s="122">
        <v>0</v>
      </c>
      <c r="J44" s="54" t="s">
        <v>104</v>
      </c>
      <c r="K44" s="47" t="s">
        <v>68</v>
      </c>
      <c r="L44" s="53">
        <f>O5</f>
        <v>1500</v>
      </c>
      <c r="M44" s="135" t="s">
        <v>110</v>
      </c>
      <c r="N44" s="54" t="s">
        <v>72</v>
      </c>
      <c r="O44" s="81">
        <f t="shared" si="1"/>
        <v>0</v>
      </c>
      <c r="P44" s="50"/>
      <c r="Q44" s="82"/>
    </row>
    <row r="45" spans="1:23" s="77" customFormat="1" ht="18" customHeight="1">
      <c r="B45" s="79"/>
      <c r="C45" s="59" t="s">
        <v>115</v>
      </c>
      <c r="D45" s="53">
        <f>VLOOKUP($R$41,마스터!$C$19:$F$34,2,FALSE)</f>
        <v>30</v>
      </c>
      <c r="E45" s="47" t="s">
        <v>68</v>
      </c>
      <c r="F45" s="122">
        <v>0</v>
      </c>
      <c r="G45" s="54" t="s">
        <v>70</v>
      </c>
      <c r="H45" s="47" t="s">
        <v>68</v>
      </c>
      <c r="I45" s="122">
        <v>0</v>
      </c>
      <c r="J45" s="54" t="s">
        <v>104</v>
      </c>
      <c r="K45" s="47" t="s">
        <v>68</v>
      </c>
      <c r="L45" s="53">
        <f>O5</f>
        <v>1500</v>
      </c>
      <c r="M45" s="135" t="s">
        <v>110</v>
      </c>
      <c r="N45" s="54" t="s">
        <v>72</v>
      </c>
      <c r="O45" s="81">
        <f t="shared" si="1"/>
        <v>0</v>
      </c>
      <c r="P45" s="50"/>
      <c r="Q45" s="82"/>
    </row>
    <row r="46" spans="1:23" s="77" customFormat="1" ht="18" customHeight="1">
      <c r="A46" s="28"/>
      <c r="B46" s="90" t="s">
        <v>116</v>
      </c>
      <c r="C46" s="91"/>
      <c r="D46" s="68"/>
      <c r="E46" s="50"/>
      <c r="F46" s="50"/>
      <c r="G46" s="50"/>
      <c r="H46" s="50"/>
      <c r="I46" s="50"/>
      <c r="J46" s="50"/>
      <c r="K46" s="69"/>
      <c r="L46" s="67"/>
      <c r="M46" s="67"/>
      <c r="N46" s="67"/>
      <c r="O46" s="133">
        <f>SUM(O47:O48)</f>
        <v>0</v>
      </c>
      <c r="P46" s="71">
        <f>IFERROR(O46/$O$7,"-")</f>
        <v>0</v>
      </c>
      <c r="Q46" s="28"/>
      <c r="R46" s="28"/>
      <c r="S46" s="28"/>
    </row>
    <row r="47" spans="1:23" ht="18" customHeight="1">
      <c r="B47" s="76"/>
      <c r="C47" s="56" t="s">
        <v>117</v>
      </c>
      <c r="D47" s="122">
        <v>0</v>
      </c>
      <c r="E47" s="47" t="s">
        <v>68</v>
      </c>
      <c r="F47" s="122">
        <v>0</v>
      </c>
      <c r="G47" s="54" t="s">
        <v>70</v>
      </c>
      <c r="H47" s="47" t="s">
        <v>68</v>
      </c>
      <c r="I47" s="122">
        <v>0</v>
      </c>
      <c r="J47" s="47" t="s">
        <v>89</v>
      </c>
      <c r="L47" s="67"/>
      <c r="M47" s="67"/>
      <c r="N47" s="54" t="s">
        <v>72</v>
      </c>
      <c r="O47" s="72">
        <f>D47*F47*I47</f>
        <v>0</v>
      </c>
      <c r="P47" s="45"/>
    </row>
    <row r="48" spans="1:23" ht="18" customHeight="1">
      <c r="B48" s="76"/>
      <c r="C48" s="56" t="s">
        <v>118</v>
      </c>
      <c r="D48" s="122">
        <v>0</v>
      </c>
      <c r="E48" s="47" t="s">
        <v>68</v>
      </c>
      <c r="F48" s="122">
        <v>0</v>
      </c>
      <c r="G48" s="54" t="s">
        <v>70</v>
      </c>
      <c r="H48" s="47" t="s">
        <v>68</v>
      </c>
      <c r="I48" s="122">
        <v>0</v>
      </c>
      <c r="J48" s="47" t="s">
        <v>89</v>
      </c>
      <c r="L48" s="67"/>
      <c r="M48" s="67"/>
      <c r="N48" s="54" t="s">
        <v>72</v>
      </c>
      <c r="O48" s="72">
        <f>D48*F48*I48</f>
        <v>0</v>
      </c>
      <c r="P48" s="45"/>
    </row>
    <row r="49" spans="1:19" s="77" customFormat="1" ht="18" customHeight="1">
      <c r="A49" s="28"/>
      <c r="B49" s="90" t="s">
        <v>119</v>
      </c>
      <c r="C49" s="91"/>
      <c r="D49" s="68"/>
      <c r="E49" s="50"/>
      <c r="F49" s="50"/>
      <c r="G49" s="50"/>
      <c r="H49" s="50"/>
      <c r="I49" s="50"/>
      <c r="J49" s="50"/>
      <c r="K49" s="69"/>
      <c r="L49" s="67"/>
      <c r="M49" s="67"/>
      <c r="N49" s="67"/>
      <c r="O49" s="133">
        <f>SUM(O50:O53)</f>
        <v>250000</v>
      </c>
      <c r="P49" s="71">
        <f>IFERROR(O49/$O$7,"-")</f>
        <v>2.650000074200002E-2</v>
      </c>
      <c r="Q49" s="28"/>
      <c r="R49" s="28"/>
      <c r="S49" s="28"/>
    </row>
    <row r="50" spans="1:19" ht="18" customHeight="1">
      <c r="B50" s="92"/>
      <c r="C50" s="56" t="s">
        <v>120</v>
      </c>
      <c r="D50" s="122">
        <v>100</v>
      </c>
      <c r="E50" s="47" t="s">
        <v>68</v>
      </c>
      <c r="F50" s="122">
        <v>150</v>
      </c>
      <c r="G50" s="47" t="s">
        <v>121</v>
      </c>
      <c r="H50" s="54" t="s">
        <v>68</v>
      </c>
      <c r="I50" s="122">
        <v>10</v>
      </c>
      <c r="J50" s="47" t="s">
        <v>122</v>
      </c>
      <c r="L50" s="67"/>
      <c r="M50" s="67"/>
      <c r="N50" s="47" t="s">
        <v>72</v>
      </c>
      <c r="O50" s="33">
        <f>D50*F50*I50</f>
        <v>150000</v>
      </c>
      <c r="P50" s="47"/>
    </row>
    <row r="51" spans="1:19" ht="18" customHeight="1">
      <c r="B51" s="56"/>
      <c r="C51" s="56" t="s">
        <v>123</v>
      </c>
      <c r="D51" s="122">
        <v>100</v>
      </c>
      <c r="E51" s="47" t="s">
        <v>68</v>
      </c>
      <c r="F51" s="122">
        <v>500</v>
      </c>
      <c r="G51" s="47" t="s">
        <v>121</v>
      </c>
      <c r="H51" s="54" t="s">
        <v>68</v>
      </c>
      <c r="I51" s="122">
        <v>2</v>
      </c>
      <c r="J51" s="47" t="s">
        <v>122</v>
      </c>
      <c r="L51" s="67"/>
      <c r="M51" s="67"/>
      <c r="N51" s="47" t="s">
        <v>72</v>
      </c>
      <c r="O51" s="33">
        <f>D51*F51*I51</f>
        <v>100000</v>
      </c>
      <c r="P51" s="47"/>
    </row>
    <row r="52" spans="1:19" ht="18" customHeight="1">
      <c r="B52" s="56"/>
      <c r="C52" s="56" t="s">
        <v>124</v>
      </c>
      <c r="D52" s="122">
        <v>0</v>
      </c>
      <c r="E52" s="47" t="s">
        <v>68</v>
      </c>
      <c r="F52" s="122">
        <v>0</v>
      </c>
      <c r="G52" s="47" t="s">
        <v>89</v>
      </c>
      <c r="H52" s="47"/>
      <c r="I52" s="47"/>
      <c r="J52" s="47"/>
      <c r="L52" s="67"/>
      <c r="M52" s="67"/>
      <c r="N52" s="50" t="s">
        <v>72</v>
      </c>
      <c r="O52" s="33">
        <f>D52*F52</f>
        <v>0</v>
      </c>
      <c r="P52" s="47"/>
    </row>
    <row r="53" spans="1:19" ht="18" customHeight="1">
      <c r="B53" s="56"/>
      <c r="C53" s="56" t="s">
        <v>125</v>
      </c>
      <c r="D53" s="122">
        <v>0</v>
      </c>
      <c r="E53" s="47" t="s">
        <v>68</v>
      </c>
      <c r="F53" s="122">
        <v>0</v>
      </c>
      <c r="G53" s="47" t="s">
        <v>89</v>
      </c>
      <c r="H53" s="47"/>
      <c r="I53" s="47"/>
      <c r="J53" s="47"/>
      <c r="L53" s="67"/>
      <c r="M53" s="67"/>
      <c r="N53" s="50" t="s">
        <v>72</v>
      </c>
      <c r="O53" s="33">
        <f>D53*F53</f>
        <v>0</v>
      </c>
      <c r="P53" s="47"/>
    </row>
    <row r="54" spans="1:19" ht="18" customHeight="1">
      <c r="B54" s="90" t="s">
        <v>126</v>
      </c>
      <c r="C54" s="93"/>
      <c r="D54" s="94"/>
      <c r="E54" s="47"/>
      <c r="F54" s="47"/>
      <c r="G54" s="47"/>
      <c r="H54" s="47"/>
      <c r="I54" s="47"/>
      <c r="J54" s="47"/>
      <c r="K54" s="50"/>
      <c r="L54" s="67"/>
      <c r="M54" s="67"/>
      <c r="N54" s="67"/>
      <c r="O54" s="132">
        <f>SUM(O55:O56)</f>
        <v>6100000</v>
      </c>
      <c r="P54" s="71">
        <f>IFERROR(O54/$O$7,"-")</f>
        <v>0.6466000181048005</v>
      </c>
    </row>
    <row r="55" spans="1:19" ht="18" customHeight="1">
      <c r="B55" s="95"/>
      <c r="C55" s="56" t="s">
        <v>164</v>
      </c>
      <c r="D55" s="122">
        <v>2800000</v>
      </c>
      <c r="E55" s="47" t="s">
        <v>68</v>
      </c>
      <c r="F55" s="122">
        <v>2</v>
      </c>
      <c r="G55" s="47" t="s">
        <v>89</v>
      </c>
      <c r="H55" s="47"/>
      <c r="I55" s="47"/>
      <c r="J55" s="47"/>
      <c r="L55" s="67"/>
      <c r="M55" s="67"/>
      <c r="N55" s="50" t="s">
        <v>72</v>
      </c>
      <c r="O55" s="72">
        <f>D55*F55</f>
        <v>5600000</v>
      </c>
      <c r="P55" s="96"/>
    </row>
    <row r="56" spans="1:19" ht="18" customHeight="1">
      <c r="B56" s="95"/>
      <c r="C56" s="56" t="s">
        <v>127</v>
      </c>
      <c r="D56" s="122">
        <v>250000</v>
      </c>
      <c r="E56" s="47" t="s">
        <v>68</v>
      </c>
      <c r="F56" s="122">
        <v>2</v>
      </c>
      <c r="G56" s="47" t="s">
        <v>89</v>
      </c>
      <c r="H56" s="47"/>
      <c r="I56" s="47"/>
      <c r="J56" s="47"/>
      <c r="L56" s="67"/>
      <c r="M56" s="67"/>
      <c r="N56" s="50" t="s">
        <v>72</v>
      </c>
      <c r="O56" s="72">
        <f>D56*F56</f>
        <v>500000</v>
      </c>
      <c r="P56" s="96"/>
    </row>
    <row r="57" spans="1:19" ht="18" customHeight="1">
      <c r="B57" s="90" t="s">
        <v>128</v>
      </c>
      <c r="C57" s="76"/>
      <c r="D57" s="97"/>
      <c r="E57" s="98"/>
      <c r="F57" s="98"/>
      <c r="G57" s="98"/>
      <c r="H57" s="98"/>
      <c r="I57" s="98"/>
      <c r="J57" s="98"/>
      <c r="K57" s="65"/>
      <c r="L57" s="67"/>
      <c r="M57" s="67"/>
      <c r="N57" s="67"/>
      <c r="O57" s="134">
        <f>SUM(O58:O62)</f>
        <v>1700000</v>
      </c>
      <c r="P57" s="71">
        <f>IFERROR(O57/$O$7,"-")</f>
        <v>0.18020000504560013</v>
      </c>
    </row>
    <row r="58" spans="1:19" ht="18" customHeight="1">
      <c r="B58" s="95"/>
      <c r="C58" s="56" t="s">
        <v>129</v>
      </c>
      <c r="D58" s="122">
        <v>200000</v>
      </c>
      <c r="E58" s="54" t="s">
        <v>68</v>
      </c>
      <c r="F58" s="122">
        <v>1</v>
      </c>
      <c r="G58" s="54" t="s">
        <v>70</v>
      </c>
      <c r="H58" s="54" t="s">
        <v>68</v>
      </c>
      <c r="I58" s="122">
        <v>2</v>
      </c>
      <c r="J58" s="54" t="s">
        <v>89</v>
      </c>
      <c r="L58" s="67"/>
      <c r="M58" s="67"/>
      <c r="N58" s="54" t="s">
        <v>72</v>
      </c>
      <c r="O58" s="99">
        <f>D58*F58*I58</f>
        <v>400000</v>
      </c>
      <c r="P58" s="54"/>
      <c r="Q58" s="100" t="s">
        <v>130</v>
      </c>
    </row>
    <row r="59" spans="1:19" ht="18" customHeight="1">
      <c r="B59" s="95"/>
      <c r="C59" s="56" t="s">
        <v>131</v>
      </c>
      <c r="D59" s="122">
        <v>200000</v>
      </c>
      <c r="E59" s="54" t="s">
        <v>68</v>
      </c>
      <c r="F59" s="124">
        <v>2</v>
      </c>
      <c r="G59" s="54" t="s">
        <v>70</v>
      </c>
      <c r="H59" s="54" t="s">
        <v>68</v>
      </c>
      <c r="I59" s="122">
        <v>2</v>
      </c>
      <c r="J59" s="54" t="s">
        <v>89</v>
      </c>
      <c r="L59" s="67"/>
      <c r="M59" s="67"/>
      <c r="N59" s="54" t="s">
        <v>72</v>
      </c>
      <c r="O59" s="99">
        <f>D59*F59*I59</f>
        <v>800000</v>
      </c>
      <c r="P59" s="54"/>
    </row>
    <row r="60" spans="1:19" ht="18" customHeight="1">
      <c r="B60" s="95"/>
      <c r="C60" s="56" t="s">
        <v>132</v>
      </c>
      <c r="D60" s="122">
        <v>50000</v>
      </c>
      <c r="E60" s="54" t="s">
        <v>68</v>
      </c>
      <c r="F60" s="122">
        <v>10</v>
      </c>
      <c r="G60" s="54" t="s">
        <v>133</v>
      </c>
      <c r="H60" s="54" t="s">
        <v>68</v>
      </c>
      <c r="I60" s="122">
        <v>1</v>
      </c>
      <c r="J60" s="54" t="s">
        <v>89</v>
      </c>
      <c r="L60" s="67"/>
      <c r="M60" s="67"/>
      <c r="N60" s="54" t="s">
        <v>72</v>
      </c>
      <c r="O60" s="99">
        <f>D60*F60*I60</f>
        <v>500000</v>
      </c>
      <c r="P60" s="54"/>
    </row>
    <row r="61" spans="1:19" ht="18" customHeight="1">
      <c r="B61" s="95"/>
      <c r="C61" s="56" t="s">
        <v>134</v>
      </c>
      <c r="D61" s="122">
        <v>0</v>
      </c>
      <c r="E61" s="54" t="s">
        <v>68</v>
      </c>
      <c r="F61" s="122">
        <v>0</v>
      </c>
      <c r="G61" s="54" t="s">
        <v>70</v>
      </c>
      <c r="H61" s="54" t="s">
        <v>68</v>
      </c>
      <c r="I61" s="122">
        <v>0</v>
      </c>
      <c r="J61" s="54" t="s">
        <v>89</v>
      </c>
      <c r="L61" s="67"/>
      <c r="M61" s="67"/>
      <c r="N61" s="54" t="s">
        <v>72</v>
      </c>
      <c r="O61" s="99">
        <f>D61*F61*I61</f>
        <v>0</v>
      </c>
      <c r="P61" s="54"/>
    </row>
    <row r="62" spans="1:19" ht="18" customHeight="1">
      <c r="B62" s="95"/>
      <c r="C62" s="56" t="s">
        <v>135</v>
      </c>
      <c r="D62" s="122">
        <v>0</v>
      </c>
      <c r="E62" s="54" t="s">
        <v>68</v>
      </c>
      <c r="F62" s="122">
        <v>0</v>
      </c>
      <c r="G62" s="54" t="s">
        <v>70</v>
      </c>
      <c r="H62" s="54" t="s">
        <v>68</v>
      </c>
      <c r="I62" s="122">
        <v>0</v>
      </c>
      <c r="J62" s="54" t="s">
        <v>89</v>
      </c>
      <c r="L62" s="67"/>
      <c r="M62" s="67"/>
      <c r="N62" s="54" t="s">
        <v>72</v>
      </c>
      <c r="O62" s="99">
        <f>D62*F62*I62</f>
        <v>0</v>
      </c>
      <c r="P62" s="54"/>
      <c r="Q62" s="100" t="s">
        <v>130</v>
      </c>
    </row>
    <row r="63" spans="1:19" ht="18" customHeight="1">
      <c r="B63" s="90" t="s">
        <v>136</v>
      </c>
      <c r="C63" s="91"/>
      <c r="D63" s="68"/>
      <c r="E63" s="50"/>
      <c r="F63" s="50"/>
      <c r="G63" s="50"/>
      <c r="H63" s="50"/>
      <c r="I63" s="50"/>
      <c r="J63" s="50"/>
      <c r="K63" s="69"/>
      <c r="L63" s="67"/>
      <c r="M63" s="67"/>
      <c r="N63" s="67"/>
      <c r="O63" s="133">
        <f>SUM(O64:O68)</f>
        <v>0</v>
      </c>
      <c r="P63" s="71">
        <f>IFERROR(O63/$O$7,"-")</f>
        <v>0</v>
      </c>
    </row>
    <row r="64" spans="1:19" ht="18" customHeight="1">
      <c r="B64" s="91"/>
      <c r="C64" s="121" t="s">
        <v>137</v>
      </c>
      <c r="D64" s="122">
        <v>0</v>
      </c>
      <c r="E64" s="47" t="s">
        <v>68</v>
      </c>
      <c r="F64" s="122">
        <v>0</v>
      </c>
      <c r="G64" s="47" t="s">
        <v>79</v>
      </c>
      <c r="H64" s="54" t="s">
        <v>68</v>
      </c>
      <c r="I64" s="122">
        <v>0</v>
      </c>
      <c r="J64" s="47" t="s">
        <v>71</v>
      </c>
      <c r="L64" s="67"/>
      <c r="M64" s="67"/>
      <c r="N64" s="47" t="s">
        <v>72</v>
      </c>
      <c r="O64" s="33">
        <f>D64*F64*I64</f>
        <v>0</v>
      </c>
      <c r="P64" s="98"/>
      <c r="Q64" s="85" t="s">
        <v>138</v>
      </c>
    </row>
    <row r="65" spans="1:23" ht="18" customHeight="1">
      <c r="B65" s="91"/>
      <c r="C65" s="121" t="s">
        <v>139</v>
      </c>
      <c r="D65" s="122">
        <v>0</v>
      </c>
      <c r="E65" s="47" t="s">
        <v>68</v>
      </c>
      <c r="F65" s="122">
        <v>0</v>
      </c>
      <c r="G65" s="47" t="s">
        <v>79</v>
      </c>
      <c r="H65" s="54" t="s">
        <v>68</v>
      </c>
      <c r="I65" s="122">
        <v>0</v>
      </c>
      <c r="J65" s="47" t="s">
        <v>71</v>
      </c>
      <c r="L65" s="67"/>
      <c r="M65" s="67"/>
      <c r="N65" s="47" t="s">
        <v>72</v>
      </c>
      <c r="O65" s="33">
        <f>D65*F65*I65</f>
        <v>0</v>
      </c>
      <c r="P65" s="98"/>
      <c r="Q65" s="85" t="s">
        <v>140</v>
      </c>
    </row>
    <row r="66" spans="1:23" ht="18" customHeight="1">
      <c r="B66" s="91"/>
      <c r="C66" s="63" t="s">
        <v>141</v>
      </c>
      <c r="D66" s="122">
        <v>0</v>
      </c>
      <c r="E66" s="47" t="s">
        <v>68</v>
      </c>
      <c r="F66" s="122">
        <v>0</v>
      </c>
      <c r="G66" s="47" t="s">
        <v>79</v>
      </c>
      <c r="H66" s="54" t="s">
        <v>68</v>
      </c>
      <c r="I66" s="122">
        <v>0</v>
      </c>
      <c r="J66" s="47" t="s">
        <v>71</v>
      </c>
      <c r="L66" s="67"/>
      <c r="M66" s="67"/>
      <c r="N66" s="47" t="s">
        <v>72</v>
      </c>
      <c r="O66" s="33">
        <f>D66*F66*I66</f>
        <v>0</v>
      </c>
      <c r="P66" s="98"/>
      <c r="Q66" s="85" t="s">
        <v>138</v>
      </c>
    </row>
    <row r="67" spans="1:23" ht="18" customHeight="1">
      <c r="B67" s="91"/>
      <c r="C67" s="63" t="s">
        <v>142</v>
      </c>
      <c r="D67" s="122">
        <v>0</v>
      </c>
      <c r="E67" s="54" t="s">
        <v>68</v>
      </c>
      <c r="F67" s="122">
        <v>0</v>
      </c>
      <c r="G67" s="47" t="s">
        <v>79</v>
      </c>
      <c r="H67" s="54" t="s">
        <v>68</v>
      </c>
      <c r="I67" s="122">
        <v>0</v>
      </c>
      <c r="J67" s="47" t="s">
        <v>71</v>
      </c>
      <c r="L67" s="67"/>
      <c r="M67" s="67"/>
      <c r="N67" s="47" t="s">
        <v>72</v>
      </c>
      <c r="O67" s="33">
        <f>D67*F67*I67</f>
        <v>0</v>
      </c>
      <c r="P67" s="98"/>
      <c r="Q67" s="85" t="s">
        <v>143</v>
      </c>
    </row>
    <row r="68" spans="1:23" ht="18" customHeight="1">
      <c r="B68" s="91"/>
      <c r="C68" s="56" t="s">
        <v>144</v>
      </c>
      <c r="D68" s="122">
        <v>0</v>
      </c>
      <c r="E68" s="47" t="s">
        <v>68</v>
      </c>
      <c r="F68" s="122">
        <v>0</v>
      </c>
      <c r="G68" s="47" t="s">
        <v>79</v>
      </c>
      <c r="H68" s="54" t="s">
        <v>68</v>
      </c>
      <c r="I68" s="122">
        <v>0</v>
      </c>
      <c r="J68" s="47" t="s">
        <v>89</v>
      </c>
      <c r="L68" s="67"/>
      <c r="M68" s="67"/>
      <c r="N68" s="47" t="s">
        <v>72</v>
      </c>
      <c r="O68" s="33">
        <f>D68*F68*I68</f>
        <v>0</v>
      </c>
      <c r="P68" s="98"/>
      <c r="Q68" s="85"/>
    </row>
    <row r="69" spans="1:23" ht="18" customHeight="1">
      <c r="B69" s="90" t="s">
        <v>145</v>
      </c>
      <c r="C69" s="101"/>
      <c r="D69" s="102"/>
      <c r="E69" s="54"/>
      <c r="F69" s="54"/>
      <c r="G69" s="54"/>
      <c r="H69" s="54"/>
      <c r="I69" s="54"/>
      <c r="J69" s="54"/>
      <c r="K69" s="54"/>
      <c r="L69" s="67"/>
      <c r="M69" s="67"/>
      <c r="N69" s="67"/>
      <c r="O69" s="133">
        <f>SUM(O70:O71)</f>
        <v>183962</v>
      </c>
      <c r="P69" s="71">
        <f>IFERROR(O69/$O$7,"-")</f>
        <v>1.9499972545999233E-2</v>
      </c>
    </row>
    <row r="70" spans="1:23" ht="18" customHeight="1">
      <c r="B70" s="103"/>
      <c r="C70" s="53" t="s">
        <v>146</v>
      </c>
      <c r="D70" s="122">
        <v>0</v>
      </c>
      <c r="E70" s="47" t="s">
        <v>68</v>
      </c>
      <c r="F70" s="122">
        <v>0</v>
      </c>
      <c r="G70" s="54" t="s">
        <v>70</v>
      </c>
      <c r="H70" s="54" t="s">
        <v>68</v>
      </c>
      <c r="I70" s="122">
        <v>2</v>
      </c>
      <c r="J70" s="54" t="s">
        <v>89</v>
      </c>
      <c r="L70" s="67"/>
      <c r="M70" s="67"/>
      <c r="N70" s="50" t="s">
        <v>72</v>
      </c>
      <c r="O70" s="72">
        <f>D70*F70*I70</f>
        <v>0</v>
      </c>
      <c r="P70" s="96"/>
    </row>
    <row r="71" spans="1:23" ht="18" customHeight="1">
      <c r="B71" s="95" t="s">
        <v>147</v>
      </c>
      <c r="C71" s="53" t="s">
        <v>148</v>
      </c>
      <c r="D71" s="122">
        <v>183962</v>
      </c>
      <c r="E71" s="47" t="s">
        <v>68</v>
      </c>
      <c r="F71" s="122">
        <v>1</v>
      </c>
      <c r="G71" s="47" t="s">
        <v>89</v>
      </c>
      <c r="H71" s="47"/>
      <c r="I71" s="47"/>
      <c r="J71" s="47"/>
      <c r="L71" s="67"/>
      <c r="M71" s="67"/>
      <c r="N71" s="50" t="s">
        <v>72</v>
      </c>
      <c r="O71" s="72">
        <f>D71*F71</f>
        <v>183962</v>
      </c>
      <c r="P71" s="96"/>
    </row>
    <row r="72" spans="1:23" ht="18" customHeight="1">
      <c r="B72" s="144" t="s">
        <v>149</v>
      </c>
      <c r="C72" s="143" t="s">
        <v>150</v>
      </c>
      <c r="D72" s="122"/>
      <c r="E72" s="47"/>
      <c r="F72" s="122"/>
      <c r="G72" s="47"/>
      <c r="H72" s="47"/>
      <c r="I72" s="47"/>
      <c r="J72" s="47"/>
      <c r="L72" s="67"/>
      <c r="M72" s="67"/>
      <c r="N72" s="50"/>
      <c r="O72" s="72"/>
      <c r="P72" s="96"/>
    </row>
    <row r="73" spans="1:23" ht="18" customHeight="1">
      <c r="B73" s="95"/>
      <c r="C73" s="53" t="s">
        <v>150</v>
      </c>
      <c r="D73" s="122">
        <v>0</v>
      </c>
      <c r="E73" s="47" t="s">
        <v>68</v>
      </c>
      <c r="F73" s="122">
        <v>0</v>
      </c>
      <c r="G73" s="47" t="s">
        <v>89</v>
      </c>
      <c r="H73" s="47"/>
      <c r="I73" s="47"/>
      <c r="J73" s="47"/>
      <c r="L73" s="67"/>
      <c r="M73" s="67"/>
      <c r="N73" s="50" t="s">
        <v>72</v>
      </c>
      <c r="O73" s="72">
        <f>D73*F73</f>
        <v>0</v>
      </c>
      <c r="P73" s="96"/>
    </row>
    <row r="74" spans="1:23" ht="18" customHeight="1">
      <c r="B74" s="95"/>
      <c r="C74" s="93"/>
      <c r="D74" s="104"/>
      <c r="E74" s="47"/>
      <c r="F74" s="47"/>
      <c r="G74" s="59"/>
      <c r="H74" s="59"/>
      <c r="I74" s="47"/>
      <c r="J74" s="125"/>
      <c r="K74" s="50"/>
      <c r="L74" s="67"/>
      <c r="M74" s="67"/>
      <c r="N74" s="67"/>
      <c r="O74" s="72"/>
      <c r="P74" s="96"/>
    </row>
    <row r="75" spans="1:23" ht="18" customHeight="1">
      <c r="A75" s="77"/>
      <c r="B75" s="169" t="s">
        <v>151</v>
      </c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40" t="s">
        <v>52</v>
      </c>
      <c r="P75" s="40" t="s">
        <v>59</v>
      </c>
      <c r="Q75" s="105" t="s">
        <v>152</v>
      </c>
      <c r="R75" s="77"/>
      <c r="S75" s="77"/>
      <c r="T75" s="77"/>
      <c r="U75" s="77"/>
      <c r="V75" s="77"/>
      <c r="W75" s="77"/>
    </row>
    <row r="76" spans="1:23" s="77" customFormat="1" ht="18" customHeight="1">
      <c r="B76" s="176" t="s">
        <v>153</v>
      </c>
      <c r="C76" s="17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130">
        <f>SUM(O77:O81)</f>
        <v>0</v>
      </c>
      <c r="P76" s="128">
        <f>IFERROR(O76/$O$7,"-")</f>
        <v>0</v>
      </c>
      <c r="Q76" s="82" t="s">
        <v>83</v>
      </c>
    </row>
    <row r="77" spans="1:23" s="77" customFormat="1" ht="18" customHeight="1">
      <c r="B77" s="126"/>
      <c r="C77" s="121" t="s">
        <v>154</v>
      </c>
      <c r="D77" s="127">
        <v>0</v>
      </c>
      <c r="E77" s="47" t="s">
        <v>68</v>
      </c>
      <c r="F77" s="122">
        <v>1</v>
      </c>
      <c r="G77" s="122" t="s">
        <v>70</v>
      </c>
      <c r="H77" s="47" t="s">
        <v>68</v>
      </c>
      <c r="I77" s="122">
        <v>1</v>
      </c>
      <c r="J77" s="122" t="s">
        <v>71</v>
      </c>
      <c r="K77" s="67"/>
      <c r="L77" s="67"/>
      <c r="M77" s="67"/>
      <c r="N77" s="67"/>
      <c r="O77" s="81">
        <f>D77*F77*I77</f>
        <v>0</v>
      </c>
      <c r="P77" s="71"/>
      <c r="Q77" s="75" t="s">
        <v>155</v>
      </c>
    </row>
    <row r="78" spans="1:23" s="77" customFormat="1" ht="18" customHeight="1">
      <c r="B78" s="126"/>
      <c r="C78" s="121" t="s">
        <v>156</v>
      </c>
      <c r="D78" s="127">
        <v>0</v>
      </c>
      <c r="E78" s="47" t="s">
        <v>68</v>
      </c>
      <c r="F78" s="122">
        <v>1</v>
      </c>
      <c r="G78" s="122" t="s">
        <v>70</v>
      </c>
      <c r="H78" s="47" t="s">
        <v>68</v>
      </c>
      <c r="I78" s="122">
        <v>1</v>
      </c>
      <c r="J78" s="122" t="s">
        <v>71</v>
      </c>
      <c r="K78" s="67"/>
      <c r="L78" s="67"/>
      <c r="M78" s="67"/>
      <c r="N78" s="67"/>
      <c r="O78" s="81">
        <f>D78*F78*I78</f>
        <v>0</v>
      </c>
      <c r="P78" s="71"/>
      <c r="Q78" s="75" t="s">
        <v>155</v>
      </c>
    </row>
    <row r="79" spans="1:23" s="77" customFormat="1" ht="18" customHeight="1">
      <c r="B79" s="126"/>
      <c r="C79" s="121" t="s">
        <v>157</v>
      </c>
      <c r="D79" s="127">
        <v>0</v>
      </c>
      <c r="E79" s="47" t="s">
        <v>68</v>
      </c>
      <c r="F79" s="122">
        <v>1</v>
      </c>
      <c r="G79" s="122" t="s">
        <v>70</v>
      </c>
      <c r="H79" s="47" t="s">
        <v>68</v>
      </c>
      <c r="I79" s="122">
        <v>1</v>
      </c>
      <c r="J79" s="122" t="s">
        <v>71</v>
      </c>
      <c r="K79" s="67"/>
      <c r="L79" s="67"/>
      <c r="M79" s="67"/>
      <c r="N79" s="67"/>
      <c r="O79" s="81">
        <f>D79*F79*I79</f>
        <v>0</v>
      </c>
      <c r="P79" s="71"/>
      <c r="Q79" s="75" t="s">
        <v>155</v>
      </c>
    </row>
    <row r="80" spans="1:23" s="77" customFormat="1" ht="18" customHeight="1">
      <c r="B80" s="126"/>
      <c r="C80" s="121" t="s">
        <v>158</v>
      </c>
      <c r="D80" s="127">
        <v>0</v>
      </c>
      <c r="E80" s="47" t="s">
        <v>68</v>
      </c>
      <c r="F80" s="122">
        <v>1</v>
      </c>
      <c r="G80" s="122" t="s">
        <v>79</v>
      </c>
      <c r="H80" s="47" t="s">
        <v>68</v>
      </c>
      <c r="I80" s="122">
        <v>1</v>
      </c>
      <c r="J80" s="122" t="s">
        <v>89</v>
      </c>
      <c r="K80" s="50"/>
      <c r="L80" s="67"/>
      <c r="M80" s="67"/>
      <c r="N80" s="67"/>
      <c r="O80" s="72">
        <f>D80*F80*I80</f>
        <v>0</v>
      </c>
      <c r="P80" s="71"/>
      <c r="Q80" s="75" t="s">
        <v>155</v>
      </c>
    </row>
    <row r="81" spans="1:23" s="77" customFormat="1" ht="18" customHeight="1">
      <c r="B81" s="126"/>
      <c r="C81" s="121" t="s">
        <v>159</v>
      </c>
      <c r="D81" s="127">
        <v>0</v>
      </c>
      <c r="E81" s="47" t="s">
        <v>68</v>
      </c>
      <c r="F81" s="122">
        <v>1</v>
      </c>
      <c r="G81" s="122" t="s">
        <v>79</v>
      </c>
      <c r="H81" s="47" t="s">
        <v>68</v>
      </c>
      <c r="I81" s="122">
        <v>1</v>
      </c>
      <c r="J81" s="122" t="s">
        <v>89</v>
      </c>
      <c r="K81" s="50"/>
      <c r="L81" s="67"/>
      <c r="M81" s="67"/>
      <c r="N81" s="67"/>
      <c r="O81" s="72">
        <f>D81*F81*I81</f>
        <v>0</v>
      </c>
      <c r="P81" s="71"/>
      <c r="Q81" s="75" t="s">
        <v>155</v>
      </c>
    </row>
    <row r="82" spans="1:23" s="77" customFormat="1" ht="18" customHeight="1">
      <c r="A82" s="28"/>
      <c r="B82" s="86"/>
      <c r="C82" s="106"/>
      <c r="D82" s="107"/>
      <c r="E82" s="108"/>
      <c r="F82" s="54"/>
      <c r="G82" s="108"/>
      <c r="H82" s="108"/>
      <c r="I82" s="108"/>
      <c r="J82" s="54"/>
      <c r="K82" s="54"/>
      <c r="L82" s="67"/>
      <c r="M82" s="67"/>
      <c r="N82" s="67"/>
      <c r="O82" s="81"/>
      <c r="P82" s="108"/>
      <c r="Q82" s="28"/>
      <c r="R82" s="28"/>
      <c r="S82" s="28"/>
      <c r="T82" s="28"/>
      <c r="U82" s="28"/>
      <c r="V82" s="28"/>
      <c r="W82" s="28"/>
    </row>
    <row r="83" spans="1:23" ht="24" customHeight="1" thickBot="1">
      <c r="B83" s="162" t="s">
        <v>160</v>
      </c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47" t="s">
        <v>52</v>
      </c>
      <c r="P83" s="147"/>
      <c r="Q83" s="145" t="s">
        <v>53</v>
      </c>
    </row>
    <row r="84" spans="1:23" ht="18" customHeight="1">
      <c r="B84" s="36" t="s">
        <v>161</v>
      </c>
      <c r="C84" s="65"/>
      <c r="D84" s="48" t="s">
        <v>64</v>
      </c>
      <c r="E84" s="65"/>
      <c r="F84" s="65"/>
      <c r="G84" s="65"/>
      <c r="H84" s="65"/>
      <c r="I84" s="65"/>
      <c r="J84" s="65"/>
      <c r="K84" s="69"/>
      <c r="L84" s="65"/>
      <c r="M84" s="65"/>
      <c r="N84" s="69"/>
      <c r="O84" s="70">
        <f>SUM(O85:O85)</f>
        <v>566037.72</v>
      </c>
      <c r="P84" s="98"/>
    </row>
    <row r="85" spans="1:23" ht="18" customHeight="1">
      <c r="B85" s="92"/>
      <c r="C85" s="56" t="s">
        <v>162</v>
      </c>
      <c r="D85" s="109">
        <f>O7</f>
        <v>9433962</v>
      </c>
      <c r="E85" s="47" t="s">
        <v>68</v>
      </c>
      <c r="F85" s="110">
        <v>0.06</v>
      </c>
      <c r="G85" s="111"/>
      <c r="H85" s="111"/>
      <c r="I85" s="111"/>
      <c r="J85" s="111"/>
      <c r="L85" s="65"/>
      <c r="M85" s="65"/>
      <c r="N85" s="101" t="s">
        <v>72</v>
      </c>
      <c r="O85" s="112">
        <f>D85*0.06</f>
        <v>566037.72</v>
      </c>
      <c r="P85" s="98"/>
      <c r="Q85" s="29"/>
    </row>
    <row r="86" spans="1:23" ht="18" customHeight="1">
      <c r="B86" s="111"/>
      <c r="C86" s="62"/>
      <c r="D86" s="111"/>
      <c r="E86" s="111"/>
      <c r="F86" s="111"/>
      <c r="G86" s="111"/>
      <c r="H86" s="111"/>
      <c r="I86" s="111"/>
      <c r="J86" s="111"/>
      <c r="K86" s="62"/>
      <c r="L86" s="65"/>
      <c r="M86" s="65"/>
      <c r="N86" s="69"/>
      <c r="O86" s="113"/>
      <c r="P86" s="114"/>
    </row>
    <row r="87" spans="1:23" ht="22.5" customHeight="1" thickBot="1">
      <c r="B87" s="167" t="s">
        <v>163</v>
      </c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15" t="s">
        <v>72</v>
      </c>
      <c r="O87" s="116">
        <f>O7+O84</f>
        <v>9999999.7200000007</v>
      </c>
      <c r="P87" s="117"/>
      <c r="Q87" s="118"/>
    </row>
    <row r="88" spans="1:23" ht="19.5" customHeight="1">
      <c r="O88" s="119"/>
    </row>
  </sheetData>
  <mergeCells count="21">
    <mergeCell ref="T2:U2"/>
    <mergeCell ref="T8:U8"/>
    <mergeCell ref="B2:Q2"/>
    <mergeCell ref="B17:K17"/>
    <mergeCell ref="B1:Q1"/>
    <mergeCell ref="B4:C4"/>
    <mergeCell ref="R1:S1"/>
    <mergeCell ref="T1:W1"/>
    <mergeCell ref="B83:N83"/>
    <mergeCell ref="L5:N5"/>
    <mergeCell ref="B6:N6"/>
    <mergeCell ref="B87:M87"/>
    <mergeCell ref="T3:T7"/>
    <mergeCell ref="B75:N75"/>
    <mergeCell ref="B9:J9"/>
    <mergeCell ref="T9:U9"/>
    <mergeCell ref="B25:N25"/>
    <mergeCell ref="B16:N16"/>
    <mergeCell ref="B30:J30"/>
    <mergeCell ref="B3:Q3"/>
    <mergeCell ref="B76:C76"/>
  </mergeCells>
  <phoneticPr fontId="2" type="noConversion"/>
  <conditionalFormatting sqref="P22">
    <cfRule type="cellIs" dxfId="4" priority="2" operator="greaterThan">
      <formula>0.1</formula>
    </cfRule>
    <cfRule type="cellIs" dxfId="3" priority="3" operator="greaterThan">
      <formula>0.1</formula>
    </cfRule>
  </conditionalFormatting>
  <conditionalFormatting sqref="P38:P41">
    <cfRule type="cellIs" dxfId="2" priority="10" operator="greaterThan">
      <formula>0.2</formula>
    </cfRule>
  </conditionalFormatting>
  <conditionalFormatting sqref="P76">
    <cfRule type="cellIs" dxfId="1" priority="1" operator="greaterThan">
      <formula>0.5</formula>
    </cfRule>
    <cfRule type="cellIs" dxfId="0" priority="9" operator="greaterThan">
      <formula>0.5</formula>
    </cfRule>
  </conditionalFormatting>
  <pageMargins left="0.23622047244094491" right="0.23622047244094491" top="0.45" bottom="0.43" header="0.31496062992125978" footer="0.31496062992125978"/>
  <pageSetup paperSize="9" scale="62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workbookViewId="0">
      <selection activeCell="C14" sqref="C14"/>
    </sheetView>
  </sheetViews>
  <sheetFormatPr defaultRowHeight="17"/>
  <cols>
    <col min="1" max="1" width="33.25" style="148" customWidth="1"/>
    <col min="2" max="4" width="30.08203125" style="148" customWidth="1"/>
    <col min="5" max="6" width="18.08203125" style="148" customWidth="1"/>
  </cols>
  <sheetData>
    <row r="1" spans="1:6" ht="22.5" customHeight="1">
      <c r="A1" s="149" t="s">
        <v>0</v>
      </c>
      <c r="B1" s="150"/>
      <c r="C1" s="150"/>
      <c r="D1" s="150"/>
    </row>
    <row r="2" spans="1:6" ht="18.75" customHeight="1">
      <c r="A2" s="1" t="s">
        <v>1</v>
      </c>
      <c r="B2" s="1" t="s">
        <v>2</v>
      </c>
      <c r="C2" s="1" t="s">
        <v>3</v>
      </c>
      <c r="D2" s="2" t="s">
        <v>4</v>
      </c>
    </row>
    <row r="3" spans="1:6" ht="18.75" customHeight="1">
      <c r="A3" s="5" t="s">
        <v>5</v>
      </c>
      <c r="B3" s="3">
        <v>3783728</v>
      </c>
      <c r="C3" s="3">
        <f>B3*2</f>
        <v>7567456</v>
      </c>
      <c r="D3" s="4">
        <f>C3*12</f>
        <v>90809472</v>
      </c>
    </row>
    <row r="4" spans="1:6" ht="18.75" customHeight="1">
      <c r="A4" s="5" t="s">
        <v>6</v>
      </c>
      <c r="B4" s="3">
        <v>2901312</v>
      </c>
      <c r="C4" s="3">
        <f>B4*2</f>
        <v>5802624</v>
      </c>
      <c r="D4" s="4">
        <f>C4*12</f>
        <v>69631488</v>
      </c>
    </row>
    <row r="5" spans="1:6" ht="18.75" customHeight="1">
      <c r="A5" s="5" t="s">
        <v>7</v>
      </c>
      <c r="B5" s="3">
        <v>1939429</v>
      </c>
      <c r="C5" s="3">
        <f>B5*2</f>
        <v>3878858</v>
      </c>
      <c r="D5" s="4">
        <f>C5*12</f>
        <v>46546296</v>
      </c>
    </row>
    <row r="6" spans="1:6" ht="18.75" customHeight="1">
      <c r="A6" s="5" t="s">
        <v>8</v>
      </c>
      <c r="B6" s="3">
        <v>1454621</v>
      </c>
      <c r="C6" s="3">
        <f>B6*2</f>
        <v>2909242</v>
      </c>
      <c r="D6" s="4">
        <f>C6*12</f>
        <v>34910904</v>
      </c>
    </row>
    <row r="8" spans="1:6" ht="21" customHeight="1">
      <c r="A8" s="156" t="s">
        <v>9</v>
      </c>
      <c r="B8" s="157"/>
      <c r="C8" s="157"/>
      <c r="D8" s="157"/>
      <c r="E8" s="157"/>
      <c r="F8" s="158"/>
    </row>
    <row r="9" spans="1:6" ht="17.25" customHeight="1">
      <c r="A9" s="9" t="s">
        <v>10</v>
      </c>
      <c r="B9" s="6" t="s">
        <v>11</v>
      </c>
      <c r="C9" s="25" t="s">
        <v>12</v>
      </c>
      <c r="D9" s="9" t="s">
        <v>13</v>
      </c>
      <c r="E9" s="9" t="s">
        <v>14</v>
      </c>
      <c r="F9" s="9" t="s">
        <v>15</v>
      </c>
    </row>
    <row r="10" spans="1:6" ht="17.25" customHeight="1">
      <c r="A10" s="154" t="s">
        <v>16</v>
      </c>
      <c r="B10" s="11" t="s">
        <v>17</v>
      </c>
      <c r="C10" s="12" t="s">
        <v>18</v>
      </c>
      <c r="D10" s="10">
        <v>25000</v>
      </c>
      <c r="E10" s="10" t="s">
        <v>19</v>
      </c>
      <c r="F10" s="160">
        <v>25000</v>
      </c>
    </row>
    <row r="11" spans="1:6">
      <c r="A11" s="155"/>
      <c r="B11" s="12" t="s">
        <v>20</v>
      </c>
      <c r="C11" s="26" t="s">
        <v>21</v>
      </c>
      <c r="D11" s="10">
        <v>25000</v>
      </c>
      <c r="E11" s="10">
        <v>100000</v>
      </c>
      <c r="F11" s="161"/>
    </row>
    <row r="12" spans="1:6" ht="17.25" customHeight="1">
      <c r="A12" s="154" t="s">
        <v>22</v>
      </c>
      <c r="B12" s="11" t="s">
        <v>17</v>
      </c>
      <c r="C12" s="12" t="s">
        <v>18</v>
      </c>
      <c r="D12" s="10">
        <v>25000</v>
      </c>
      <c r="E12" s="10" t="s">
        <v>19</v>
      </c>
      <c r="F12" s="161"/>
    </row>
    <row r="13" spans="1:6">
      <c r="A13" s="155"/>
      <c r="B13" s="12" t="s">
        <v>20</v>
      </c>
      <c r="C13" s="26" t="s">
        <v>23</v>
      </c>
      <c r="D13" s="10">
        <v>25000</v>
      </c>
      <c r="E13" s="10">
        <v>80000</v>
      </c>
      <c r="F13" s="161"/>
    </row>
    <row r="14" spans="1:6" ht="17.25" customHeight="1">
      <c r="A14" s="154" t="s">
        <v>24</v>
      </c>
      <c r="B14" s="11" t="s">
        <v>17</v>
      </c>
      <c r="C14" s="12" t="s">
        <v>18</v>
      </c>
      <c r="D14" s="10">
        <v>25000</v>
      </c>
      <c r="E14" s="10" t="s">
        <v>19</v>
      </c>
      <c r="F14" s="161"/>
    </row>
    <row r="15" spans="1:6">
      <c r="A15" s="155"/>
      <c r="B15" s="12" t="s">
        <v>20</v>
      </c>
      <c r="C15" s="26" t="s">
        <v>25</v>
      </c>
      <c r="D15" s="10">
        <v>25000</v>
      </c>
      <c r="E15" s="10">
        <v>70000</v>
      </c>
      <c r="F15" s="155"/>
    </row>
    <row r="16" spans="1:6">
      <c r="A16" s="8"/>
      <c r="B16" s="8"/>
      <c r="C16" s="8"/>
      <c r="D16" s="8"/>
      <c r="E16" s="8"/>
      <c r="F16" s="8"/>
    </row>
    <row r="17" spans="1:6" ht="21" customHeight="1">
      <c r="A17" s="159" t="s">
        <v>26</v>
      </c>
      <c r="B17" s="157"/>
      <c r="C17" s="157"/>
      <c r="D17" s="157"/>
      <c r="E17" s="157"/>
      <c r="F17" s="158"/>
    </row>
    <row r="18" spans="1:6" ht="17.25" customHeight="1">
      <c r="A18" s="19" t="s">
        <v>27</v>
      </c>
      <c r="B18" s="20" t="s">
        <v>11</v>
      </c>
      <c r="C18" s="21" t="s">
        <v>12</v>
      </c>
      <c r="D18" s="27" t="s">
        <v>15</v>
      </c>
      <c r="E18" s="6" t="s">
        <v>28</v>
      </c>
      <c r="F18" s="6" t="s">
        <v>13</v>
      </c>
    </row>
    <row r="19" spans="1:6" ht="17.25" customHeight="1">
      <c r="A19" s="151" t="s">
        <v>29</v>
      </c>
      <c r="B19" s="15" t="s">
        <v>30</v>
      </c>
      <c r="C19" s="7">
        <v>1</v>
      </c>
      <c r="D19" s="11">
        <v>50</v>
      </c>
      <c r="E19" s="6">
        <v>389</v>
      </c>
      <c r="F19" s="6">
        <v>160</v>
      </c>
    </row>
    <row r="20" spans="1:6" ht="17.25" customHeight="1">
      <c r="A20" s="152"/>
      <c r="B20" s="15" t="s">
        <v>31</v>
      </c>
      <c r="C20" s="7">
        <v>2</v>
      </c>
      <c r="D20" s="11">
        <v>40</v>
      </c>
      <c r="E20" s="6">
        <v>282</v>
      </c>
      <c r="F20" s="6">
        <v>133</v>
      </c>
    </row>
    <row r="21" spans="1:6" ht="27" customHeight="1">
      <c r="A21" s="152"/>
      <c r="B21" s="22" t="s">
        <v>32</v>
      </c>
      <c r="C21" s="7">
        <v>3</v>
      </c>
      <c r="D21" s="11">
        <v>35</v>
      </c>
      <c r="E21" s="6">
        <v>223</v>
      </c>
      <c r="F21" s="6">
        <v>107</v>
      </c>
    </row>
    <row r="22" spans="1:6" ht="17.25" customHeight="1">
      <c r="A22" s="153"/>
      <c r="B22" s="18" t="s">
        <v>33</v>
      </c>
      <c r="C22" s="7">
        <v>4</v>
      </c>
      <c r="D22" s="11">
        <v>30</v>
      </c>
      <c r="E22" s="6">
        <v>176</v>
      </c>
      <c r="F22" s="6">
        <v>81</v>
      </c>
    </row>
    <row r="23" spans="1:6" ht="35.25" customHeight="1">
      <c r="A23" s="151" t="s">
        <v>34</v>
      </c>
      <c r="B23" s="12" t="s">
        <v>30</v>
      </c>
      <c r="C23" s="7">
        <v>5</v>
      </c>
      <c r="D23" s="11">
        <v>50</v>
      </c>
      <c r="E23" s="6">
        <v>289</v>
      </c>
      <c r="F23" s="6">
        <v>117</v>
      </c>
    </row>
    <row r="24" spans="1:6" ht="35.25" customHeight="1">
      <c r="A24" s="152"/>
      <c r="B24" s="12" t="s">
        <v>31</v>
      </c>
      <c r="C24" s="7">
        <v>6</v>
      </c>
      <c r="D24" s="11">
        <v>40</v>
      </c>
      <c r="E24" s="6">
        <v>207</v>
      </c>
      <c r="F24" s="6">
        <v>99</v>
      </c>
    </row>
    <row r="25" spans="1:6" ht="35.25" customHeight="1">
      <c r="A25" s="152"/>
      <c r="B25" s="23" t="s">
        <v>32</v>
      </c>
      <c r="C25" s="7">
        <v>7</v>
      </c>
      <c r="D25" s="11">
        <v>35</v>
      </c>
      <c r="E25" s="6">
        <v>160</v>
      </c>
      <c r="F25" s="6">
        <v>78</v>
      </c>
    </row>
    <row r="26" spans="1:6" ht="35.25" customHeight="1">
      <c r="A26" s="153"/>
      <c r="B26" s="17" t="s">
        <v>33</v>
      </c>
      <c r="C26" s="7">
        <v>8</v>
      </c>
      <c r="D26" s="11">
        <v>30</v>
      </c>
      <c r="E26" s="6">
        <v>137</v>
      </c>
      <c r="F26" s="6">
        <v>59</v>
      </c>
    </row>
    <row r="27" spans="1:6" ht="39" customHeight="1">
      <c r="A27" s="151" t="s">
        <v>35</v>
      </c>
      <c r="B27" s="12" t="s">
        <v>30</v>
      </c>
      <c r="C27" s="7">
        <v>9</v>
      </c>
      <c r="D27" s="11">
        <v>50</v>
      </c>
      <c r="E27" s="6">
        <v>215</v>
      </c>
      <c r="F27" s="6">
        <v>87</v>
      </c>
    </row>
    <row r="28" spans="1:6" ht="39" customHeight="1">
      <c r="A28" s="152"/>
      <c r="B28" s="12" t="s">
        <v>31</v>
      </c>
      <c r="C28" s="7">
        <v>10</v>
      </c>
      <c r="D28" s="11">
        <v>40</v>
      </c>
      <c r="E28" s="6">
        <v>162</v>
      </c>
      <c r="F28" s="6">
        <v>72</v>
      </c>
    </row>
    <row r="29" spans="1:6" ht="39" customHeight="1">
      <c r="A29" s="152"/>
      <c r="B29" s="24" t="s">
        <v>32</v>
      </c>
      <c r="C29" s="7">
        <v>11</v>
      </c>
      <c r="D29" s="11">
        <v>35</v>
      </c>
      <c r="E29" s="6">
        <v>130</v>
      </c>
      <c r="F29" s="6">
        <v>58</v>
      </c>
    </row>
    <row r="30" spans="1:6" ht="39" customHeight="1">
      <c r="A30" s="153"/>
      <c r="B30" s="16" t="s">
        <v>33</v>
      </c>
      <c r="C30" s="7">
        <v>12</v>
      </c>
      <c r="D30" s="11">
        <v>30</v>
      </c>
      <c r="E30" s="6">
        <v>106</v>
      </c>
      <c r="F30" s="6">
        <v>44</v>
      </c>
    </row>
    <row r="31" spans="1:6" ht="35.25" customHeight="1">
      <c r="A31" s="151" t="s">
        <v>36</v>
      </c>
      <c r="B31" s="12" t="s">
        <v>30</v>
      </c>
      <c r="C31" s="7">
        <v>13</v>
      </c>
      <c r="D31" s="11">
        <v>50</v>
      </c>
      <c r="E31" s="6">
        <v>161</v>
      </c>
      <c r="F31" s="6">
        <v>73</v>
      </c>
    </row>
    <row r="32" spans="1:6" ht="35.25" customHeight="1">
      <c r="A32" s="152"/>
      <c r="B32" s="12" t="s">
        <v>31</v>
      </c>
      <c r="C32" s="7">
        <v>14</v>
      </c>
      <c r="D32" s="11">
        <v>40</v>
      </c>
      <c r="E32" s="6">
        <v>108</v>
      </c>
      <c r="F32" s="6">
        <v>61</v>
      </c>
    </row>
    <row r="33" spans="1:6" ht="35.25" customHeight="1">
      <c r="A33" s="152"/>
      <c r="B33" s="24" t="s">
        <v>32</v>
      </c>
      <c r="C33" s="7">
        <v>15</v>
      </c>
      <c r="D33" s="11">
        <v>35</v>
      </c>
      <c r="E33" s="6">
        <v>85</v>
      </c>
      <c r="F33" s="6">
        <v>49</v>
      </c>
    </row>
    <row r="34" spans="1:6" ht="35.25" customHeight="1">
      <c r="A34" s="153"/>
      <c r="B34" s="16" t="s">
        <v>33</v>
      </c>
      <c r="C34" s="7">
        <v>16</v>
      </c>
      <c r="D34" s="11">
        <v>30</v>
      </c>
      <c r="E34" s="6">
        <v>81</v>
      </c>
      <c r="F34" s="6">
        <v>37</v>
      </c>
    </row>
  </sheetData>
  <mergeCells count="11">
    <mergeCell ref="A1:D1"/>
    <mergeCell ref="A27:A30"/>
    <mergeCell ref="A23:A26"/>
    <mergeCell ref="A12:A13"/>
    <mergeCell ref="A31:A34"/>
    <mergeCell ref="A8:F8"/>
    <mergeCell ref="A17:F17"/>
    <mergeCell ref="F10:F15"/>
    <mergeCell ref="A10:A11"/>
    <mergeCell ref="A19:A22"/>
    <mergeCell ref="A14:A15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9-1.소요예산 산출내역</vt:lpstr>
      <vt:lpstr>마스터</vt:lpstr>
      <vt:lpstr>'9-1.소요예산 산출내역'!Print_Area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DY KIM</cp:lastModifiedBy>
  <cp:lastPrinted>2022-10-23T23:48:30Z</cp:lastPrinted>
  <dcterms:created xsi:type="dcterms:W3CDTF">2022-09-23T07:56:57Z</dcterms:created>
  <dcterms:modified xsi:type="dcterms:W3CDTF">2026-09-29T18:25:02Z</dcterms:modified>
</cp:coreProperties>
</file>