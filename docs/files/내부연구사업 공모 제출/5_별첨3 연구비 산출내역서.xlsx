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80" tabRatio="600" firstSheet="1" activeTab="1" autoFilterDateGrouping="1"/>
  </bookViews>
  <sheets>
    <sheet xmlns:r="http://schemas.openxmlformats.org/officeDocument/2006/relationships" name="9-1.소요예산 산출내역" sheetId="1" state="visible" r:id="rId1"/>
    <sheet xmlns:r="http://schemas.openxmlformats.org/officeDocument/2006/relationships" name="마스터" sheetId="2" state="visible" r:id="rId2"/>
  </sheets>
  <definedNames>
    <definedName name="_xlnm.Print_Area" localSheetId="0">'9-1.소요예산 산출내역'!$B$1:$P$87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_-* #,##0_-;\-* #,##0_-;_-* &quot;-&quot;??_-;_-@_-"/>
    <numFmt numFmtId="166" formatCode="0.0%"/>
    <numFmt numFmtId="167" formatCode="_-&quot;₩&quot;* #,##0_-;\-&quot;₩&quot;* #,##0_-;_-&quot;₩&quot;* &quot;-&quot;_-;_-@_-"/>
  </numFmts>
  <fonts count="6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sz val="8"/>
      <scheme val="minor"/>
    </font>
    <font>
      <name val="함초롬바탕"/>
      <charset val="129"/>
      <family val="1"/>
      <b val="1"/>
      <sz val="11"/>
    </font>
    <font>
      <name val="함초롬바탕"/>
      <charset val="129"/>
      <family val="1"/>
      <b val="1"/>
      <color theme="1"/>
      <sz val="11"/>
    </font>
    <font>
      <name val="함초롬바탕"/>
      <charset val="129"/>
      <family val="1"/>
      <b val="1"/>
      <color rgb="FF000000"/>
      <sz val="11"/>
    </font>
    <font>
      <name val="함초롬바탕"/>
      <charset val="129"/>
      <family val="1"/>
      <color theme="1"/>
      <sz val="11"/>
    </font>
    <font>
      <name val="맑은 고딕"/>
      <charset val="129"/>
      <family val="2"/>
      <color theme="1"/>
      <sz val="9"/>
      <scheme val="minor"/>
    </font>
    <font>
      <name val="함초롬바탕"/>
      <charset val="129"/>
      <family val="1"/>
      <color rgb="FFFF0000"/>
      <sz val="11"/>
    </font>
    <font>
      <name val="함초롬바탕"/>
      <charset val="129"/>
      <family val="1"/>
      <color rgb="FF000000"/>
      <sz val="11"/>
    </font>
    <font>
      <name val="함초롬바탕"/>
      <charset val="129"/>
      <family val="1"/>
      <color rgb="FF3333FF"/>
      <sz val="11"/>
    </font>
    <font>
      <name val="함초롬바탕"/>
      <charset val="129"/>
      <family val="1"/>
      <color rgb="FF3333FF"/>
      <sz val="10"/>
    </font>
    <font>
      <name val="함초롬바탕"/>
      <charset val="129"/>
      <family val="1"/>
      <color rgb="FF0070C0"/>
      <sz val="11"/>
    </font>
    <font>
      <name val="함초롬바탕"/>
      <charset val="129"/>
      <family val="1"/>
      <color rgb="FF000000"/>
      <sz val="10"/>
    </font>
    <font>
      <name val="함초롬바탕"/>
      <charset val="129"/>
      <family val="1"/>
      <color rgb="FFFF0000"/>
      <sz val="10"/>
    </font>
    <font>
      <name val="함초롬바탕"/>
      <charset val="129"/>
      <family val="1"/>
      <b val="1"/>
      <color rgb="FFFF0000"/>
      <sz val="11"/>
    </font>
    <font>
      <name val="함초롬바탕"/>
      <charset val="129"/>
      <family val="1"/>
      <color rgb="FF000000"/>
      <sz val="8"/>
    </font>
    <font>
      <name val="함초롬바탕"/>
      <charset val="129"/>
      <family val="1"/>
      <color rgb="FF000000"/>
      <sz val="8"/>
      <u val="single"/>
    </font>
    <font>
      <name val="함초롬바탕"/>
      <charset val="129"/>
      <family val="1"/>
      <b val="1"/>
      <color rgb="FF003399"/>
      <sz val="11"/>
    </font>
    <font>
      <name val="맑은 고딕"/>
      <charset val="129"/>
      <family val="3"/>
      <color rgb="FF000000"/>
      <sz val="11"/>
      <scheme val="major"/>
    </font>
    <font>
      <name val="Tahoma"/>
      <family val="2"/>
      <color indexed="81"/>
      <sz val="9"/>
    </font>
    <font>
      <name val="돋움"/>
      <charset val="129"/>
      <family val="3"/>
      <color indexed="81"/>
      <sz val="9"/>
    </font>
    <font>
      <name val="돋움"/>
      <charset val="129"/>
      <family val="3"/>
      <b val="1"/>
      <color indexed="81"/>
      <sz val="9"/>
    </font>
    <font>
      <name val="Tahoma"/>
      <family val="2"/>
      <b val="1"/>
      <color indexed="81"/>
      <sz val="9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rgb="FF000000"/>
      <sz val="11"/>
      <scheme val="major"/>
    </font>
    <font>
      <name val="맑은 고딕"/>
      <charset val="129"/>
      <family val="3"/>
      <color rgb="FF000000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rgb="FF000000"/>
      <sz val="11"/>
      <scheme val="minor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3"/>
      <b val="1"/>
      <color rgb="FF000000"/>
      <sz val="12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sz val="11"/>
      <scheme val="major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theme="1"/>
      <sz val="11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color rgb="FFFF0000"/>
      <sz val="10"/>
      <scheme val="major"/>
    </font>
    <font>
      <name val="맑은 고딕"/>
      <charset val="129"/>
      <family val="3"/>
      <b val="1"/>
      <color theme="1"/>
      <sz val="12"/>
      <scheme val="major"/>
    </font>
    <font>
      <name val="맑은 고딕"/>
      <charset val="129"/>
      <family val="3"/>
      <color theme="1"/>
      <sz val="9"/>
      <scheme val="major"/>
    </font>
    <font>
      <name val="맑은 고딕"/>
      <charset val="129"/>
      <family val="3"/>
      <b val="1"/>
      <color theme="1"/>
      <sz val="11"/>
      <u val="doubleAccounting"/>
      <scheme val="major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i val="1"/>
      <color rgb="FFFF0000"/>
      <sz val="11"/>
      <scheme val="major"/>
    </font>
    <font>
      <name val="맑은 고딕"/>
      <charset val="129"/>
      <family val="3"/>
      <color rgb="FFFF0000"/>
      <sz val="11"/>
      <scheme val="major"/>
    </font>
    <font>
      <name val="맑은 고딕"/>
      <charset val="129"/>
      <family val="3"/>
      <b val="1"/>
      <color theme="1"/>
      <sz val="11"/>
      <u val="double"/>
      <scheme val="major"/>
    </font>
    <font>
      <name val="맑은 고딕"/>
      <charset val="129"/>
      <family val="3"/>
      <b val="1"/>
      <color rgb="FF0000FF"/>
      <sz val="11"/>
      <scheme val="major"/>
    </font>
    <font>
      <name val="맑은 고딕"/>
      <charset val="129"/>
      <family val="3"/>
      <color rgb="FF0000FF"/>
      <sz val="10"/>
      <scheme val="major"/>
    </font>
    <font>
      <name val="맑은 고딕"/>
      <charset val="129"/>
      <family val="3"/>
      <color theme="4" tint="-0.249977111117893"/>
      <sz val="10"/>
      <scheme val="major"/>
    </font>
    <font>
      <name val="맑은 고딕"/>
      <charset val="129"/>
      <family val="3"/>
      <sz val="9"/>
      <scheme val="major"/>
    </font>
    <font>
      <name val="맑은 고딕"/>
      <charset val="129"/>
      <family val="3"/>
      <color rgb="FF000000"/>
      <sz val="8"/>
      <scheme val="major"/>
    </font>
    <font>
      <name val="HY헤드라인M"/>
      <charset val="129"/>
      <family val="1"/>
      <color theme="1"/>
      <sz val="20"/>
    </font>
    <font>
      <name val="맑은 고딕"/>
      <charset val="129"/>
      <family val="3"/>
      <color theme="1"/>
      <sz val="8"/>
      <scheme val="major"/>
    </font>
    <font>
      <name val="맑은 고딕"/>
      <charset val="129"/>
      <family val="3"/>
      <i val="1"/>
      <sz val="11"/>
      <scheme val="major"/>
    </font>
    <font>
      <name val="HY헤드라인M"/>
      <charset val="129"/>
      <family val="1"/>
      <color theme="1"/>
      <sz val="16"/>
    </font>
    <font>
      <name val="맑은 고딕"/>
      <charset val="129"/>
      <family val="3"/>
      <b val="1"/>
      <color rgb="FF0000FF"/>
      <sz val="12"/>
      <scheme val="minor"/>
    </font>
    <font>
      <name val="맑은 고딕"/>
      <charset val="129"/>
      <family val="3"/>
      <b val="1"/>
      <color rgb="FF0000FF"/>
      <sz val="10"/>
      <scheme val="major"/>
    </font>
    <font>
      <name val="맑은 고딕"/>
      <charset val="129"/>
      <family val="3"/>
      <b val="1"/>
      <color theme="1"/>
      <sz val="14"/>
      <scheme val="major"/>
    </font>
    <font>
      <name val="맑은 고딕"/>
      <charset val="129"/>
      <family val="3"/>
      <color theme="1"/>
      <sz val="14"/>
      <scheme val="major"/>
    </font>
    <font>
      <name val="맑은 고딕"/>
      <charset val="129"/>
      <family val="3"/>
      <b val="1"/>
      <color rgb="FF000000"/>
      <sz val="14"/>
      <scheme val="major"/>
    </font>
  </fonts>
  <fills count="8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7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1" fillId="3" borderId="0" applyAlignment="1">
      <alignment vertical="center"/>
    </xf>
  </cellStyleXfs>
  <cellXfs count="454">
    <xf numFmtId="0" fontId="0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justify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0" fontId="8" fillId="0" borderId="0" applyAlignment="1" pivotButton="0" quotePrefix="0" xfId="0">
      <alignment horizontal="center" vertical="center"/>
    </xf>
    <xf numFmtId="165" fontId="9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10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center" vertical="center" wrapText="1"/>
    </xf>
    <xf numFmtId="164" fontId="7" fillId="0" borderId="2" applyAlignment="1" pivotButton="0" quotePrefix="0" xfId="1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164" fontId="11" fillId="0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vertical="center" wrapText="1"/>
    </xf>
    <xf numFmtId="164" fontId="12" fillId="0" borderId="0" applyAlignment="1" pivotButton="0" quotePrefix="0" xfId="1">
      <alignment horizontal="left" vertical="center" wrapText="1"/>
    </xf>
    <xf numFmtId="164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1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vertical="center" wrapText="1"/>
    </xf>
    <xf numFmtId="164" fontId="14" fillId="0" borderId="0" applyAlignment="1" pivotButton="0" quotePrefix="0" xfId="1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164" fontId="9" fillId="0" borderId="0" applyAlignment="1" pivotButton="0" quotePrefix="0" xfId="1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5" fillId="2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164" fontId="2" fillId="0" borderId="0" applyAlignment="1" pivotButton="0" quotePrefix="0" xfId="1">
      <alignment vertical="center"/>
    </xf>
    <xf numFmtId="0" fontId="10" fillId="0" borderId="0" applyAlignment="1" pivotButton="0" quotePrefix="0" xfId="0">
      <alignment horizontal="justify" vertical="center" wrapText="1"/>
    </xf>
    <xf numFmtId="164" fontId="10" fillId="0" borderId="0" applyAlignment="1" pivotButton="0" quotePrefix="0" xfId="1">
      <alignment horizontal="center" vertical="center" wrapText="1"/>
    </xf>
    <xf numFmtId="3" fontId="10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left" vertical="center" wrapText="1"/>
    </xf>
    <xf numFmtId="3" fontId="10" fillId="0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justify" vertical="center" wrapText="1"/>
    </xf>
    <xf numFmtId="164" fontId="10" fillId="0" borderId="0" applyAlignment="1" pivotButton="0" quotePrefix="0" xfId="1">
      <alignment horizontal="center" vertical="center" wrapText="1"/>
    </xf>
    <xf numFmtId="3" fontId="10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justify" vertical="center" wrapText="1"/>
    </xf>
    <xf numFmtId="164" fontId="7" fillId="0" borderId="0" applyAlignment="1" pivotButton="0" quotePrefix="0" xfId="1">
      <alignment horizontal="center" vertical="center" wrapText="1"/>
    </xf>
    <xf numFmtId="3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3" fontId="7" fillId="0" borderId="0" applyAlignment="1" pivotButton="0" quotePrefix="0" xfId="0">
      <alignment horizontal="right" vertical="center" wrapText="1"/>
    </xf>
    <xf numFmtId="0" fontId="6" fillId="2" borderId="3" applyAlignment="1" pivotButton="0" quotePrefix="0" xfId="0">
      <alignment horizontal="justify" vertical="center" wrapText="1"/>
    </xf>
    <xf numFmtId="0" fontId="6" fillId="2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7" fillId="0" borderId="4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164" fontId="7" fillId="0" borderId="0" applyAlignment="1" pivotButton="0" quotePrefix="0" xfId="1">
      <alignment horizontal="right" vertical="center" wrapText="1"/>
    </xf>
    <xf numFmtId="164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 wrapText="1"/>
    </xf>
    <xf numFmtId="164" fontId="9" fillId="0" borderId="0" applyAlignment="1" pivotButton="0" quotePrefix="0" xfId="1">
      <alignment horizontal="right" vertical="center" wrapText="1"/>
    </xf>
    <xf numFmtId="164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3" fontId="10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164" fontId="10" fillId="0" borderId="0" applyAlignment="1" pivotButton="0" quotePrefix="0" xfId="1">
      <alignment horizontal="right" vertical="center" wrapText="1"/>
    </xf>
    <xf numFmtId="164" fontId="10" fillId="0" borderId="0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justify" vertical="center" wrapText="1"/>
    </xf>
    <xf numFmtId="0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1">
      <alignment horizontal="right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164" fontId="1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164" fontId="9" fillId="0" borderId="0" applyAlignment="1" pivotButton="0" quotePrefix="0" xfId="1">
      <alignment horizontal="center" vertical="center" wrapText="1"/>
    </xf>
    <xf numFmtId="164" fontId="7" fillId="0" borderId="1" applyAlignment="1" pivotButton="0" quotePrefix="0" xfId="1">
      <alignment horizontal="right" vertical="center" wrapText="1"/>
    </xf>
    <xf numFmtId="164" fontId="7" fillId="0" borderId="1" applyAlignment="1" pivotButton="0" quotePrefix="0" xfId="0">
      <alignment horizontal="justify" vertical="center" wrapText="1"/>
    </xf>
    <xf numFmtId="0" fontId="7" fillId="0" borderId="1" applyAlignment="1" pivotButton="0" quotePrefix="0" xfId="0">
      <alignment horizontal="justify" vertical="center" wrapText="1"/>
    </xf>
    <xf numFmtId="0" fontId="7" fillId="0" borderId="2" applyAlignment="1" pivotButton="0" quotePrefix="0" xfId="0">
      <alignment horizontal="justify" vertical="center" wrapText="1"/>
    </xf>
    <xf numFmtId="164" fontId="9" fillId="0" borderId="2" applyAlignment="1" pivotButton="0" quotePrefix="0" xfId="1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justify" vertical="center" wrapText="1"/>
    </xf>
    <xf numFmtId="3" fontId="7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center" wrapText="1"/>
    </xf>
    <xf numFmtId="0" fontId="6" fillId="0" borderId="4" applyAlignment="1" pivotButton="0" quotePrefix="0" xfId="0">
      <alignment horizontal="justify" vertical="center" wrapText="1"/>
    </xf>
    <xf numFmtId="0" fontId="6" fillId="0" borderId="0" applyAlignment="1" pivotButton="0" quotePrefix="0" xfId="0">
      <alignment horizontal="justify" vertical="center" wrapText="1"/>
    </xf>
    <xf numFmtId="3" fontId="10" fillId="0" borderId="4" applyAlignment="1" pivotButton="0" quotePrefix="0" xfId="0">
      <alignment horizontal="right" vertical="center" wrapText="1"/>
    </xf>
    <xf numFmtId="0" fontId="10" fillId="0" borderId="4" applyAlignment="1" pivotButton="0" quotePrefix="0" xfId="0">
      <alignment horizontal="center" vertical="center" wrapText="1"/>
    </xf>
    <xf numFmtId="164" fontId="10" fillId="0" borderId="0" applyAlignment="1" pivotButton="0" quotePrefix="0" xfId="1">
      <alignment horizontal="center" vertical="center" wrapText="1"/>
    </xf>
    <xf numFmtId="0" fontId="6" fillId="0" borderId="4" applyAlignment="1" pivotButton="0" quotePrefix="0" xfId="0">
      <alignment horizontal="right" vertical="center" wrapText="1"/>
    </xf>
    <xf numFmtId="0" fontId="6" fillId="2" borderId="7" applyAlignment="1" pivotButton="0" quotePrefix="0" xfId="0">
      <alignment horizontal="center" vertical="center" wrapText="1"/>
    </xf>
    <xf numFmtId="3" fontId="10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3" fontId="7" fillId="0" borderId="0" applyAlignment="1" pivotButton="0" quotePrefix="0" xfId="0">
      <alignment horizontal="right" vertical="center" wrapText="1"/>
    </xf>
    <xf numFmtId="3" fontId="10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horizontal="justify" vertical="center" wrapText="1"/>
    </xf>
    <xf numFmtId="164" fontId="9" fillId="0" borderId="1" applyAlignment="1" pivotButton="0" quotePrefix="0" xfId="1">
      <alignment horizontal="right" vertical="center" wrapText="1"/>
    </xf>
    <xf numFmtId="0" fontId="10" fillId="0" borderId="4" applyAlignment="1" pivotButton="0" quotePrefix="0" xfId="0">
      <alignment vertical="center" wrapText="1"/>
    </xf>
    <xf numFmtId="164" fontId="10" fillId="0" borderId="0" applyAlignment="1" pivotButton="0" quotePrefix="0" xfId="1">
      <alignment horizontal="right" vertical="center" wrapText="1"/>
    </xf>
    <xf numFmtId="0" fontId="10" fillId="0" borderId="1" applyAlignment="1" pivotButton="0" quotePrefix="0" xfId="0">
      <alignment horizontal="right" vertical="center" wrapText="1"/>
    </xf>
    <xf numFmtId="164" fontId="9" fillId="0" borderId="0" applyAlignment="1" pivotButton="0" quotePrefix="0" xfId="1">
      <alignment horizontal="right" vertical="center" wrapText="1"/>
    </xf>
    <xf numFmtId="0" fontId="10" fillId="0" borderId="4" applyAlignment="1" pivotButton="0" quotePrefix="0" xfId="0">
      <alignment horizontal="justify" vertical="center" wrapText="1"/>
    </xf>
    <xf numFmtId="0" fontId="10" fillId="0" borderId="4" applyAlignment="1" pivotButton="0" quotePrefix="0" xfId="0">
      <alignment horizontal="right" vertical="center" wrapText="1"/>
    </xf>
    <xf numFmtId="0" fontId="14" fillId="0" borderId="4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justify" vertical="center" wrapText="1"/>
    </xf>
    <xf numFmtId="0" fontId="14" fillId="0" borderId="1" applyAlignment="1" pivotButton="0" quotePrefix="0" xfId="0">
      <alignment vertical="center" wrapText="1"/>
    </xf>
    <xf numFmtId="164" fontId="10" fillId="0" borderId="1" applyAlignment="1" pivotButton="0" quotePrefix="0" xfId="1">
      <alignment horizontal="right" vertical="center" wrapText="1"/>
    </xf>
    <xf numFmtId="0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1">
      <alignment horizontal="center" vertical="center"/>
    </xf>
    <xf numFmtId="164" fontId="7" fillId="0" borderId="0" applyAlignment="1" pivotButton="0" quotePrefix="0" xfId="1">
      <alignment vertical="center"/>
    </xf>
    <xf numFmtId="164" fontId="9" fillId="0" borderId="0" applyAlignment="1" pivotButton="0" quotePrefix="0" xfId="1">
      <alignment vertical="center"/>
    </xf>
    <xf numFmtId="0" fontId="20" fillId="0" borderId="9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0" fillId="0" borderId="11" applyAlignment="1" pivotButton="0" quotePrefix="0" xfId="0">
      <alignment horizontal="center" vertical="center" wrapText="1"/>
    </xf>
    <xf numFmtId="9" fontId="20" fillId="0" borderId="10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center" vertical="center" wrapText="1"/>
    </xf>
    <xf numFmtId="3" fontId="20" fillId="0" borderId="14" applyAlignment="1" pivotButton="0" quotePrefix="0" xfId="0">
      <alignment horizontal="center" vertical="center" wrapText="1"/>
    </xf>
    <xf numFmtId="3" fontId="20" fillId="0" borderId="13" applyAlignment="1" pivotButton="0" quotePrefix="0" xfId="0">
      <alignment horizontal="center" vertical="center" wrapText="1"/>
    </xf>
    <xf numFmtId="0" fontId="20" fillId="0" borderId="15" applyAlignment="1" pivotButton="0" quotePrefix="0" xfId="0">
      <alignment horizontal="center" vertical="center" wrapText="1"/>
    </xf>
    <xf numFmtId="0" fontId="20" fillId="0" borderId="16" applyAlignment="1" pivotButton="0" quotePrefix="0" xfId="0">
      <alignment horizontal="center" vertical="center" wrapText="1"/>
    </xf>
    <xf numFmtId="3" fontId="20" fillId="0" borderId="17" applyAlignment="1" pivotButton="0" quotePrefix="0" xfId="0">
      <alignment horizontal="center" vertical="center" wrapText="1"/>
    </xf>
    <xf numFmtId="3" fontId="20" fillId="0" borderId="16" applyAlignment="1" pivotButton="0" quotePrefix="0" xfId="0">
      <alignment horizontal="center" vertical="center" wrapText="1"/>
    </xf>
    <xf numFmtId="0" fontId="20" fillId="0" borderId="18" applyAlignment="1" pivotButton="0" quotePrefix="0" xfId="0">
      <alignment horizontal="center" vertical="center" wrapText="1"/>
    </xf>
    <xf numFmtId="0" fontId="20" fillId="0" borderId="19" applyAlignment="1" pivotButton="0" quotePrefix="0" xfId="0">
      <alignment horizontal="center" vertical="center" wrapText="1"/>
    </xf>
    <xf numFmtId="3" fontId="20" fillId="0" borderId="20" applyAlignment="1" pivotButton="0" quotePrefix="0" xfId="0">
      <alignment horizontal="center" vertical="center" wrapText="1"/>
    </xf>
    <xf numFmtId="3" fontId="20" fillId="0" borderId="19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justify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justify" vertical="center" wrapText="1"/>
    </xf>
    <xf numFmtId="0" fontId="6" fillId="2" borderId="5" applyAlignment="1" pivotButton="0" quotePrefix="0" xfId="0">
      <alignment horizontal="justify" vertical="center" wrapText="1"/>
    </xf>
    <xf numFmtId="0" fontId="5" fillId="2" borderId="3" applyAlignment="1" pivotButton="0" quotePrefix="0" xfId="0">
      <alignment horizontal="justify" vertical="center" wrapText="1"/>
    </xf>
    <xf numFmtId="0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2" fillId="0" borderId="0" applyAlignment="1" pivotButton="0" quotePrefix="0" xfId="1">
      <alignment vertical="center"/>
    </xf>
    <xf numFmtId="0" fontId="9" fillId="0" borderId="0" applyAlignment="1" pivotButton="0" quotePrefix="0" xfId="0">
      <alignment horizontal="right" vertical="center"/>
    </xf>
    <xf numFmtId="164" fontId="7" fillId="0" borderId="0" applyAlignment="1" pivotButton="0" quotePrefix="0" xfId="1">
      <alignment horizontal="justify" vertical="center" wrapText="1"/>
    </xf>
    <xf numFmtId="0" fontId="6" fillId="0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9" fontId="6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24" applyAlignment="1" pivotButton="0" quotePrefix="0" xfId="0">
      <alignment horizontal="center" vertical="center" wrapText="1"/>
    </xf>
    <xf numFmtId="0" fontId="27" fillId="0" borderId="26" applyAlignment="1" pivotButton="0" quotePrefix="0" xfId="0">
      <alignment horizontal="center" vertical="center" wrapText="1"/>
    </xf>
    <xf numFmtId="0" fontId="25" fillId="0" borderId="26" applyAlignment="1" pivotButton="0" quotePrefix="0" xfId="0">
      <alignment horizontal="center" vertical="center"/>
    </xf>
    <xf numFmtId="3" fontId="2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1">
      <alignment vertical="center"/>
    </xf>
    <xf numFmtId="0" fontId="20" fillId="4" borderId="26" applyAlignment="1" pivotButton="0" quotePrefix="0" xfId="0">
      <alignment horizontal="center" vertical="center" wrapText="1"/>
    </xf>
    <xf numFmtId="0" fontId="28" fillId="0" borderId="26" applyAlignment="1" pivotButton="0" quotePrefix="0" xfId="0">
      <alignment horizontal="center" vertical="center" wrapText="1"/>
    </xf>
    <xf numFmtId="0" fontId="28" fillId="4" borderId="26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center"/>
    </xf>
    <xf numFmtId="0" fontId="30" fillId="0" borderId="26" applyAlignment="1" pivotButton="0" quotePrefix="0" xfId="0">
      <alignment horizontal="center" vertical="center" wrapText="1"/>
    </xf>
    <xf numFmtId="3" fontId="31" fillId="0" borderId="26" applyAlignment="1" pivotButton="0" quotePrefix="0" xfId="0">
      <alignment horizontal="center" vertical="center" wrapText="1"/>
    </xf>
    <xf numFmtId="0" fontId="28" fillId="0" borderId="32" applyAlignment="1" pivotButton="0" quotePrefix="0" xfId="0">
      <alignment horizontal="center" vertical="center" wrapText="1"/>
    </xf>
    <xf numFmtId="0" fontId="31" fillId="0" borderId="26" applyAlignment="1" pivotButton="0" quotePrefix="0" xfId="0">
      <alignment horizontal="center" vertical="center" wrapText="1"/>
    </xf>
    <xf numFmtId="166" fontId="35" fillId="0" borderId="0" applyAlignment="1" applyProtection="1" pivotButton="0" quotePrefix="0" xfId="2">
      <alignment horizontal="center" vertical="center" wrapText="1"/>
      <protection locked="0" hidden="0"/>
    </xf>
    <xf numFmtId="166" fontId="36" fillId="0" borderId="0" applyAlignment="1" applyProtection="1" pivotButton="0" quotePrefix="0" xfId="2">
      <alignment horizontal="center" vertical="center" wrapText="1"/>
      <protection locked="0" hidden="0"/>
    </xf>
    <xf numFmtId="0" fontId="30" fillId="0" borderId="26" applyAlignment="1" pivotButton="0" quotePrefix="0" xfId="0">
      <alignment horizontal="center" vertical="center" wrapText="1"/>
    </xf>
    <xf numFmtId="0" fontId="31" fillId="0" borderId="32" applyAlignment="1" pivotButton="0" quotePrefix="0" xfId="0">
      <alignment horizontal="center" vertical="center" wrapText="1"/>
    </xf>
    <xf numFmtId="0" fontId="31" fillId="0" borderId="27" applyAlignment="1" pivotButton="0" quotePrefix="0" xfId="0">
      <alignment horizontal="justify" vertical="center" wrapText="1"/>
    </xf>
    <xf numFmtId="0" fontId="31" fillId="0" borderId="27" applyAlignment="1" pivotButton="0" quotePrefix="0" xfId="0">
      <alignment horizontal="center" vertical="center" wrapText="1"/>
    </xf>
    <xf numFmtId="0" fontId="31" fillId="0" borderId="28" applyAlignment="1" pivotButton="0" quotePrefix="0" xfId="0">
      <alignment horizontal="center" vertical="center" wrapText="1"/>
    </xf>
    <xf numFmtId="0" fontId="28" fillId="0" borderId="31" applyAlignment="1" pivotButton="0" quotePrefix="0" xfId="0">
      <alignment horizontal="center" vertical="center" wrapText="1"/>
    </xf>
    <xf numFmtId="0" fontId="28" fillId="0" borderId="34" applyAlignment="1" pivotButton="0" quotePrefix="0" xfId="0">
      <alignment horizontal="center" vertical="center" wrapText="1"/>
    </xf>
    <xf numFmtId="0" fontId="32" fillId="4" borderId="36" applyAlignment="1" pivotButton="0" quotePrefix="0" xfId="0">
      <alignment horizontal="center" vertical="center" wrapText="1"/>
    </xf>
    <xf numFmtId="0" fontId="33" fillId="0" borderId="28" applyAlignment="1" pivotButton="0" quotePrefix="0" xfId="0">
      <alignment horizontal="center" vertical="center" wrapText="1"/>
    </xf>
    <xf numFmtId="0" fontId="33" fillId="0" borderId="27" applyAlignment="1" pivotButton="0" quotePrefix="0" xfId="0">
      <alignment horizontal="center" vertical="center" wrapText="1"/>
    </xf>
    <xf numFmtId="0" fontId="33" fillId="0" borderId="27" applyAlignment="1" pivotButton="0" quotePrefix="0" xfId="0">
      <alignment horizontal="justify" vertical="center" wrapText="1"/>
    </xf>
    <xf numFmtId="0" fontId="30" fillId="5" borderId="26" applyAlignment="1" pivotButton="0" quotePrefix="0" xfId="0">
      <alignment horizontal="center" vertical="center" wrapText="1"/>
    </xf>
    <xf numFmtId="0" fontId="31" fillId="5" borderId="26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28" fillId="0" borderId="32" applyAlignment="1" pivotButton="0" quotePrefix="0" xfId="0">
      <alignment horizontal="center" vertical="center" wrapText="1"/>
    </xf>
    <xf numFmtId="0" fontId="37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164" fontId="37" fillId="0" borderId="0" applyAlignment="1" pivotButton="0" quotePrefix="0" xfId="1">
      <alignment horizontal="center" vertical="center" wrapText="1"/>
    </xf>
    <xf numFmtId="0" fontId="37" fillId="0" borderId="37" applyAlignment="1" pivotButton="0" quotePrefix="0" xfId="0">
      <alignment vertical="center"/>
    </xf>
    <xf numFmtId="164" fontId="36" fillId="0" borderId="0" applyAlignment="1" pivotButton="0" quotePrefix="0" xfId="1">
      <alignment vertical="center" wrapText="1"/>
    </xf>
    <xf numFmtId="0" fontId="27" fillId="0" borderId="0" applyAlignment="1" pivotButton="0" quotePrefix="0" xfId="0">
      <alignment horizontal="left" vertical="center"/>
    </xf>
    <xf numFmtId="164" fontId="37" fillId="0" borderId="0" applyAlignment="1" pivotButton="0" quotePrefix="0" xfId="1">
      <alignment vertical="center"/>
    </xf>
    <xf numFmtId="164" fontId="39" fillId="0" borderId="0" applyAlignment="1" pivotButton="0" quotePrefix="0" xfId="0">
      <alignment horizontal="center" vertical="center" wrapText="1"/>
    </xf>
    <xf numFmtId="0" fontId="39" fillId="2" borderId="3" applyAlignment="1" pivotButton="0" quotePrefix="0" xfId="0">
      <alignment horizontal="justify" vertical="center" wrapText="1"/>
    </xf>
    <xf numFmtId="0" fontId="39" fillId="2" borderId="3" applyAlignment="1" pivotButton="0" quotePrefix="0" xfId="0">
      <alignment horizontal="center" vertical="center" wrapText="1"/>
    </xf>
    <xf numFmtId="0" fontId="27" fillId="2" borderId="3" applyAlignment="1" pivotButton="0" quotePrefix="0" xfId="0">
      <alignment horizontal="center" vertical="center" wrapText="1"/>
    </xf>
    <xf numFmtId="0" fontId="37" fillId="2" borderId="3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/>
    </xf>
    <xf numFmtId="0" fontId="37" fillId="0" borderId="2" applyAlignment="1" pivotButton="0" quotePrefix="0" xfId="0">
      <alignment horizontal="center" vertical="center" wrapText="1"/>
    </xf>
    <xf numFmtId="166" fontId="27" fillId="0" borderId="0" applyAlignment="1" pivotButton="0" quotePrefix="0" xfId="2">
      <alignment horizontal="center" vertical="center" wrapText="1"/>
    </xf>
    <xf numFmtId="0" fontId="38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 wrapText="1"/>
    </xf>
    <xf numFmtId="164" fontId="35" fillId="0" borderId="0" applyAlignment="1" pivotButton="0" quotePrefix="0" xfId="1">
      <alignment horizontal="left" vertical="center" wrapText="1"/>
    </xf>
    <xf numFmtId="0" fontId="37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164" fontId="35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left" vertical="center" wrapText="1"/>
    </xf>
    <xf numFmtId="164" fontId="35" fillId="0" borderId="0" applyAlignment="1" pivotButton="0" quotePrefix="0" xfId="0">
      <alignment horizontal="left" vertical="center" wrapText="1"/>
    </xf>
    <xf numFmtId="164" fontId="37" fillId="0" borderId="0" applyAlignment="1" pivotButton="0" quotePrefix="0" xfId="1">
      <alignment horizontal="left" vertical="center" wrapText="1"/>
    </xf>
    <xf numFmtId="0" fontId="37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left" vertical="center" wrapText="1"/>
    </xf>
    <xf numFmtId="164" fontId="47" fillId="0" borderId="0" applyAlignment="1" pivotButton="0" quotePrefix="0" xfId="1">
      <alignment horizontal="left" vertical="center" wrapText="1"/>
    </xf>
    <xf numFmtId="0" fontId="47" fillId="0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left" vertical="center" wrapText="1"/>
    </xf>
    <xf numFmtId="0" fontId="47" fillId="0" borderId="0" applyAlignment="1" pivotButton="0" quotePrefix="0" xfId="0">
      <alignment horizontal="center" vertical="center" wrapText="1"/>
    </xf>
    <xf numFmtId="164" fontId="47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0" fontId="3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justify" vertical="center" wrapText="1"/>
    </xf>
    <xf numFmtId="164" fontId="39" fillId="0" borderId="0" applyAlignment="1" pivotButton="0" quotePrefix="0" xfId="0">
      <alignment horizontal="justify" vertical="center" wrapText="1"/>
    </xf>
    <xf numFmtId="0" fontId="27" fillId="0" borderId="0" applyAlignment="1" pivotButton="0" quotePrefix="0" xfId="0">
      <alignment horizontal="justify" vertical="center" wrapText="1"/>
    </xf>
    <xf numFmtId="164" fontId="27" fillId="0" borderId="0" applyAlignment="1" pivotButton="0" quotePrefix="0" xfId="0">
      <alignment horizontal="center" vertical="center" wrapText="1"/>
    </xf>
    <xf numFmtId="166" fontId="20" fillId="0" borderId="0" applyAlignment="1" pivotButton="0" quotePrefix="0" xfId="2">
      <alignment horizontal="center" vertical="center" wrapText="1"/>
    </xf>
    <xf numFmtId="3" fontId="37" fillId="0" borderId="0" applyAlignment="1" pivotButton="0" quotePrefix="0" xfId="0">
      <alignment horizontal="right" vertical="center" wrapText="1"/>
    </xf>
    <xf numFmtId="0" fontId="49" fillId="0" borderId="0" applyAlignment="1" pivotButton="0" quotePrefix="0" xfId="0">
      <alignment horizontal="left" vertical="center" indent="1"/>
    </xf>
    <xf numFmtId="0" fontId="38" fillId="0" borderId="0" applyAlignment="1" pivotButton="0" quotePrefix="0" xfId="0">
      <alignment vertical="center"/>
    </xf>
    <xf numFmtId="0" fontId="37" fillId="0" borderId="0" applyAlignment="1" pivotButton="0" quotePrefix="0" xfId="0">
      <alignment horizontal="center" vertical="center" wrapText="1"/>
    </xf>
    <xf numFmtId="3" fontId="39" fillId="0" borderId="0" applyAlignment="1" pivotButton="0" quotePrefix="0" xfId="0">
      <alignment horizontal="right" vertical="center" wrapText="1"/>
    </xf>
    <xf numFmtId="0" fontId="50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left" vertical="center" wrapText="1"/>
    </xf>
    <xf numFmtId="0" fontId="47" fillId="0" borderId="0" applyAlignment="1" pivotButton="0" quotePrefix="0" xfId="0">
      <alignment vertical="center"/>
    </xf>
    <xf numFmtId="0" fontId="47" fillId="0" borderId="0" applyAlignment="1" pivotButton="0" quotePrefix="0" xfId="0">
      <alignment vertical="center"/>
    </xf>
    <xf numFmtId="164" fontId="3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right" vertical="center" wrapText="1"/>
    </xf>
    <xf numFmtId="164" fontId="20" fillId="0" borderId="0" applyAlignment="1" pivotButton="0" quotePrefix="0" xfId="0">
      <alignment vertical="center" wrapText="1"/>
    </xf>
    <xf numFmtId="3" fontId="20" fillId="0" borderId="0" applyAlignment="1" pivotButton="0" quotePrefix="0" xfId="0">
      <alignment horizontal="right" vertical="center" wrapText="1"/>
    </xf>
    <xf numFmtId="0" fontId="38" fillId="0" borderId="0" applyAlignment="1" pivotButton="0" quotePrefix="0" xfId="0">
      <alignment horizontal="justify" vertical="center" wrapText="1"/>
    </xf>
    <xf numFmtId="0" fontId="35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164" fontId="35" fillId="0" borderId="0" applyAlignment="1" pivotButton="0" quotePrefix="0" xfId="1">
      <alignment horizontal="left" vertical="center" wrapText="1"/>
    </xf>
    <xf numFmtId="0" fontId="38" fillId="0" borderId="0" applyAlignment="1" pivotButton="0" quotePrefix="0" xfId="0">
      <alignment horizontal="justify" vertical="center"/>
    </xf>
    <xf numFmtId="0" fontId="20" fillId="0" borderId="0" applyAlignment="1" pivotButton="0" quotePrefix="0" xfId="0">
      <alignment horizontal="justify" vertical="center" wrapText="1"/>
    </xf>
    <xf numFmtId="0" fontId="37" fillId="0" borderId="0" applyAlignment="1" pivotButton="0" quotePrefix="0" xfId="0">
      <alignment horizontal="justify" vertical="center" wrapText="1"/>
    </xf>
    <xf numFmtId="0" fontId="52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left" vertical="center" indent="1"/>
    </xf>
    <xf numFmtId="166" fontId="37" fillId="0" borderId="0" applyAlignment="1" pivotButton="0" quotePrefix="0" xfId="3">
      <alignment horizontal="center" vertical="center" wrapText="1"/>
    </xf>
    <xf numFmtId="0" fontId="36" fillId="0" borderId="0" applyAlignment="1" pivotButton="0" quotePrefix="0" xfId="0">
      <alignment horizontal="left" vertical="center" indent="1"/>
    </xf>
    <xf numFmtId="0" fontId="36" fillId="0" borderId="0" applyAlignment="1" pivotButton="0" quotePrefix="0" xfId="0">
      <alignment horizontal="justify" vertical="center" wrapText="1"/>
    </xf>
    <xf numFmtId="0" fontId="35" fillId="0" borderId="0" applyAlignment="1" pivotButton="0" quotePrefix="0" xfId="0">
      <alignment horizontal="left" vertical="center" wrapText="1" indent="1"/>
    </xf>
    <xf numFmtId="0" fontId="37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left" vertical="center" wrapText="1"/>
    </xf>
    <xf numFmtId="164" fontId="35" fillId="0" borderId="0" applyAlignment="1" pivotButton="0" quotePrefix="0" xfId="1">
      <alignment horizontal="center" vertical="center" wrapText="1"/>
    </xf>
    <xf numFmtId="164" fontId="37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justify" vertical="center" wrapText="1"/>
    </xf>
    <xf numFmtId="164" fontId="35" fillId="0" borderId="0" applyAlignment="1" pivotButton="0" quotePrefix="0" xfId="1">
      <alignment horizontal="left" vertical="center" wrapText="1"/>
    </xf>
    <xf numFmtId="3" fontId="37" fillId="0" borderId="0" applyAlignment="1" pivotButton="0" quotePrefix="0" xfId="0">
      <alignment horizontal="right" vertical="center" wrapText="1"/>
    </xf>
    <xf numFmtId="0" fontId="53" fillId="0" borderId="0" applyAlignment="1" pivotButton="0" quotePrefix="0" xfId="0">
      <alignment vertical="center" wrapText="1"/>
    </xf>
    <xf numFmtId="164" fontId="27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justify" vertical="center" wrapText="1"/>
    </xf>
    <xf numFmtId="164" fontId="20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164" fontId="20" fillId="0" borderId="0" applyAlignment="1" pivotButton="0" quotePrefix="0" xfId="1">
      <alignment horizontal="right" vertical="center" wrapText="1"/>
    </xf>
    <xf numFmtId="0" fontId="36" fillId="0" borderId="0" applyAlignment="1" pivotButton="0" quotePrefix="0" xfId="0">
      <alignment horizontal="left" vertical="center" wrapText="1" indent="1"/>
    </xf>
    <xf numFmtId="164" fontId="35" fillId="0" borderId="0" applyAlignment="1" pivotButton="0" quotePrefix="0" xfId="1">
      <alignment horizontal="center" vertical="center" wrapText="1"/>
    </xf>
    <xf numFmtId="3" fontId="37" fillId="0" borderId="0" applyAlignment="1" pivotButton="0" quotePrefix="0" xfId="0">
      <alignment vertical="center" wrapText="1"/>
    </xf>
    <xf numFmtId="0" fontId="38" fillId="2" borderId="3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justify" vertical="center" wrapText="1"/>
    </xf>
    <xf numFmtId="164" fontId="20" fillId="0" borderId="0" applyAlignment="1" pivotButton="0" quotePrefix="0" xfId="1">
      <alignment horizontal="center" vertical="center" wrapText="1"/>
    </xf>
    <xf numFmtId="3" fontId="20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right" vertical="center" wrapText="1"/>
    </xf>
    <xf numFmtId="164" fontId="35" fillId="0" borderId="0" applyAlignment="1" pivotButton="0" quotePrefix="0" xfId="0">
      <alignment horizontal="justify" vertical="center" wrapText="1"/>
    </xf>
    <xf numFmtId="9" fontId="35" fillId="0" borderId="0" applyAlignment="1" pivotButton="0" quotePrefix="0" xfId="2">
      <alignment horizontal="justify" vertical="center" wrapText="1"/>
    </xf>
    <xf numFmtId="0" fontId="47" fillId="0" borderId="0" applyAlignment="1" pivotButton="0" quotePrefix="0" xfId="0">
      <alignment horizontal="justify" vertical="center" wrapText="1"/>
    </xf>
    <xf numFmtId="0" fontId="35" fillId="0" borderId="0" applyAlignment="1" pivotButton="0" quotePrefix="0" xfId="0">
      <alignment horizontal="center" vertical="center" wrapText="1"/>
    </xf>
    <xf numFmtId="164" fontId="35" fillId="0" borderId="0" applyAlignment="1" pivotButton="0" quotePrefix="0" xfId="1">
      <alignment horizontal="right" vertical="center" wrapText="1"/>
    </xf>
    <xf numFmtId="164" fontId="47" fillId="0" borderId="0" applyAlignment="1" pivotButton="0" quotePrefix="0" xfId="1">
      <alignment horizontal="right" vertical="center" wrapText="1"/>
    </xf>
    <xf numFmtId="0" fontId="20" fillId="0" borderId="0" applyAlignment="1" pivotButton="0" quotePrefix="0" xfId="0">
      <alignment vertical="center" wrapText="1"/>
    </xf>
    <xf numFmtId="0" fontId="27" fillId="2" borderId="25" applyAlignment="1" pivotButton="0" quotePrefix="0" xfId="0">
      <alignment horizontal="center" vertical="center" wrapText="1"/>
    </xf>
    <xf numFmtId="164" fontId="39" fillId="2" borderId="25" applyAlignment="1" pivotButton="0" quotePrefix="0" xfId="0">
      <alignment vertical="center" wrapText="1"/>
    </xf>
    <xf numFmtId="9" fontId="27" fillId="2" borderId="25" applyAlignment="1" pivotButton="0" quotePrefix="0" xfId="0">
      <alignment horizontal="right" vertical="center" wrapText="1"/>
    </xf>
    <xf numFmtId="9" fontId="39" fillId="2" borderId="25" applyAlignment="1" pivotButton="0" quotePrefix="0" xfId="0">
      <alignment horizontal="right" vertical="center" wrapText="1"/>
    </xf>
    <xf numFmtId="164" fontId="39" fillId="0" borderId="0" applyAlignment="1" pivotButton="0" quotePrefix="0" xfId="1">
      <alignment vertical="center"/>
    </xf>
    <xf numFmtId="164" fontId="46" fillId="0" borderId="0" applyAlignment="1" pivotButton="0" quotePrefix="0" xfId="1">
      <alignment horizontal="center" vertical="center" wrapText="1"/>
    </xf>
    <xf numFmtId="0" fontId="46" fillId="0" borderId="0" applyAlignment="1" pivotButton="0" quotePrefix="0" xfId="0">
      <alignment horizontal="left" vertical="center" wrapText="1"/>
    </xf>
    <xf numFmtId="0" fontId="46" fillId="0" borderId="0" applyAlignment="1" pivotButton="0" quotePrefix="0" xfId="0">
      <alignment horizontal="center" vertical="center" wrapText="1"/>
    </xf>
    <xf numFmtId="9" fontId="46" fillId="0" borderId="0" applyAlignment="1" pivotButton="0" quotePrefix="0" xfId="2">
      <alignment horizontal="center" vertical="center" wrapText="1"/>
    </xf>
    <xf numFmtId="0" fontId="46" fillId="0" borderId="0" applyAlignment="1" pivotButton="0" quotePrefix="0" xfId="0">
      <alignment horizontal="center" vertical="center" wrapText="1"/>
    </xf>
    <xf numFmtId="0" fontId="46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 wrapText="1"/>
    </xf>
    <xf numFmtId="0" fontId="37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horizontal="left" vertical="center" wrapText="1" indent="1"/>
    </xf>
    <xf numFmtId="164" fontId="46" fillId="0" borderId="0" applyAlignment="1" pivotButton="0" quotePrefix="0" xfId="1">
      <alignment horizontal="justify" vertical="center" wrapText="1"/>
    </xf>
    <xf numFmtId="0" fontId="20" fillId="0" borderId="0" applyAlignment="1" pivotButton="0" quotePrefix="0" xfId="2">
      <alignment horizontal="center" vertical="center" wrapText="1"/>
    </xf>
    <xf numFmtId="164" fontId="44" fillId="6" borderId="0" applyAlignment="1" pivotButton="0" quotePrefix="0" xfId="0">
      <alignment horizontal="center" vertical="center" wrapText="1"/>
    </xf>
    <xf numFmtId="3" fontId="48" fillId="6" borderId="0" applyAlignment="1" pivotButton="0" quotePrefix="0" xfId="0">
      <alignment horizontal="right" vertical="center" wrapText="1"/>
    </xf>
    <xf numFmtId="3" fontId="27" fillId="7" borderId="0" applyAlignment="1" pivotButton="0" quotePrefix="0" xfId="0">
      <alignment horizontal="right" vertical="center" wrapText="1"/>
    </xf>
    <xf numFmtId="3" fontId="39" fillId="7" borderId="0" applyAlignment="1" pivotButton="0" quotePrefix="0" xfId="0">
      <alignment horizontal="right" vertical="center" wrapText="1"/>
    </xf>
    <xf numFmtId="164" fontId="27" fillId="7" borderId="0" applyAlignment="1" pivotButton="0" quotePrefix="0" xfId="0">
      <alignment horizontal="center" vertical="center" wrapText="1"/>
    </xf>
    <xf numFmtId="3" fontId="39" fillId="7" borderId="0" applyAlignment="1" pivotButton="0" quotePrefix="0" xfId="0">
      <alignment horizontal="right" vertical="center" wrapText="1"/>
    </xf>
    <xf numFmtId="164" fontId="20" fillId="7" borderId="0" applyAlignment="1" pivotButton="0" quotePrefix="0" xfId="0">
      <alignment horizontal="center" vertical="center" wrapText="1"/>
    </xf>
    <xf numFmtId="0" fontId="55" fillId="0" borderId="0" applyAlignment="1" pivotButton="0" quotePrefix="0" xfId="0">
      <alignment horizontal="justify" vertical="center" wrapText="1"/>
    </xf>
    <xf numFmtId="0" fontId="41" fillId="0" borderId="0" applyAlignment="1" pivotButton="0" quotePrefix="0" xfId="0">
      <alignment vertical="center"/>
    </xf>
    <xf numFmtId="164" fontId="56" fillId="0" borderId="0" applyAlignment="1" pivotButton="0" quotePrefix="0" xfId="1">
      <alignment horizontal="left" vertical="center" wrapText="1"/>
    </xf>
    <xf numFmtId="0" fontId="37" fillId="6" borderId="26" applyAlignment="1" pivotButton="0" quotePrefix="0" xfId="0">
      <alignment vertical="center"/>
    </xf>
    <xf numFmtId="9" fontId="37" fillId="6" borderId="26" applyAlignment="1" pivotButton="0" quotePrefix="0" xfId="2">
      <alignment vertical="center"/>
    </xf>
    <xf numFmtId="164" fontId="7" fillId="0" borderId="0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justify" vertical="center" wrapText="1"/>
    </xf>
    <xf numFmtId="0" fontId="4" fillId="2" borderId="1" applyAlignment="1" pivotButton="0" quotePrefix="0" xfId="0">
      <alignment horizontal="justify" vertical="center" wrapText="1"/>
    </xf>
    <xf numFmtId="0" fontId="5" fillId="2" borderId="3" applyAlignment="1" pivotButton="0" quotePrefix="0" xfId="0">
      <alignment horizontal="justify" vertical="center" wrapText="1"/>
    </xf>
    <xf numFmtId="0" fontId="5" fillId="2" borderId="5" applyAlignment="1" pivotButton="0" quotePrefix="0" xfId="0">
      <alignment horizontal="justify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5" applyAlignment="1" pivotButton="0" quotePrefix="0" xfId="0">
      <alignment horizontal="left" vertical="center" wrapText="1"/>
    </xf>
    <xf numFmtId="0" fontId="6" fillId="2" borderId="6" applyAlignment="1" pivotButton="0" quotePrefix="0" xfId="0">
      <alignment horizontal="justify" vertical="center" wrapText="1"/>
    </xf>
    <xf numFmtId="0" fontId="6" fillId="2" borderId="7" applyAlignment="1" pivotButton="0" quotePrefix="0" xfId="0">
      <alignment horizontal="justify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justify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164" fontId="16" fillId="2" borderId="1" applyAlignment="1" pivotButton="0" quotePrefix="0" xfId="0">
      <alignment horizontal="right" vertical="center" wrapText="1"/>
    </xf>
    <xf numFmtId="0" fontId="16" fillId="2" borderId="4" applyAlignment="1" pivotButton="0" quotePrefix="0" xfId="0">
      <alignment horizontal="right" vertical="center" wrapText="1"/>
    </xf>
    <xf numFmtId="9" fontId="6" fillId="2" borderId="1" applyAlignment="1" pivotButton="0" quotePrefix="0" xfId="0">
      <alignment horizontal="right" vertical="center" wrapText="1"/>
    </xf>
    <xf numFmtId="9" fontId="6" fillId="2" borderId="4" applyAlignment="1" pivotButton="0" quotePrefix="0" xfId="0">
      <alignment horizontal="right" vertical="center" wrapText="1"/>
    </xf>
    <xf numFmtId="0" fontId="6" fillId="2" borderId="4" applyAlignment="1" pivotButton="0" quotePrefix="0" xfId="0">
      <alignment horizontal="center" vertical="center" wrapText="1"/>
    </xf>
    <xf numFmtId="0" fontId="39" fillId="2" borderId="3" applyAlignment="1" pivotButton="0" quotePrefix="0" xfId="0">
      <alignment horizontal="left" vertical="center" wrapText="1"/>
    </xf>
    <xf numFmtId="0" fontId="37" fillId="6" borderId="26" applyAlignment="1" pivotButton="0" quotePrefix="0" xfId="0">
      <alignment horizontal="left" vertical="center"/>
    </xf>
    <xf numFmtId="0" fontId="37" fillId="6" borderId="26" applyAlignment="1" pivotButton="0" quotePrefix="0" xfId="0">
      <alignment horizontal="center" vertical="center"/>
    </xf>
    <xf numFmtId="0" fontId="27" fillId="0" borderId="2" applyAlignment="1" pivotButton="0" quotePrefix="0" xfId="0">
      <alignment horizontal="left" vertical="center" wrapText="1"/>
    </xf>
    <xf numFmtId="0" fontId="36" fillId="2" borderId="3" applyAlignment="1" pivotButton="0" quotePrefix="0" xfId="0">
      <alignment horizontal="justify" vertical="center" wrapText="1"/>
    </xf>
    <xf numFmtId="0" fontId="39" fillId="2" borderId="3" applyAlignment="1" pivotButton="0" quotePrefix="0" xfId="0">
      <alignment horizontal="justify" vertical="center" wrapText="1"/>
    </xf>
    <xf numFmtId="0" fontId="27" fillId="0" borderId="2" applyAlignment="1" pivotButton="0" quotePrefix="0" xfId="0">
      <alignment horizontal="left" vertical="center"/>
    </xf>
    <xf numFmtId="0" fontId="54" fillId="0" borderId="0" applyAlignment="1" pivotButton="0" quotePrefix="0" xfId="0">
      <alignment horizontal="center" vertical="center"/>
    </xf>
    <xf numFmtId="0" fontId="57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left" vertical="center"/>
    </xf>
    <xf numFmtId="0" fontId="39" fillId="0" borderId="37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34" fillId="0" borderId="30" applyAlignment="1" pivotButton="0" quotePrefix="0" xfId="0">
      <alignment horizontal="center" vertical="center" wrapText="1"/>
    </xf>
    <xf numFmtId="0" fontId="34" fillId="0" borderId="29" applyAlignment="1" pivotButton="0" quotePrefix="0" xfId="0">
      <alignment horizontal="center" vertical="center" wrapText="1"/>
    </xf>
    <xf numFmtId="0" fontId="34" fillId="0" borderId="31" applyAlignment="1" pivotButton="0" quotePrefix="0" xfId="0">
      <alignment horizontal="center" vertical="center" wrapText="1"/>
    </xf>
    <xf numFmtId="0" fontId="26" fillId="5" borderId="26" applyAlignment="1" pivotButton="0" quotePrefix="0" xfId="0">
      <alignment horizontal="center" vertical="center"/>
    </xf>
    <xf numFmtId="3" fontId="30" fillId="0" borderId="33" applyAlignment="1" pivotButton="0" quotePrefix="0" xfId="0">
      <alignment horizontal="center" vertical="center" wrapText="1"/>
    </xf>
    <xf numFmtId="3" fontId="30" fillId="0" borderId="34" applyAlignment="1" pivotButton="0" quotePrefix="0" xfId="0">
      <alignment horizontal="center" vertical="center" wrapText="1"/>
    </xf>
    <xf numFmtId="0" fontId="26" fillId="4" borderId="26" applyAlignment="1" pivotButton="0" quotePrefix="0" xfId="0">
      <alignment horizontal="center" vertical="center"/>
    </xf>
    <xf numFmtId="164" fontId="29" fillId="0" borderId="33" applyAlignment="1" pivotButton="0" quotePrefix="0" xfId="1">
      <alignment horizontal="center" vertical="center"/>
    </xf>
    <xf numFmtId="164" fontId="29" fillId="0" borderId="35" applyAlignment="1" pivotButton="0" quotePrefix="0" xfId="1">
      <alignment horizontal="center" vertical="center"/>
    </xf>
    <xf numFmtId="164" fontId="29" fillId="0" borderId="34" applyAlignment="1" pivotButton="0" quotePrefix="0" xfId="1">
      <alignment horizontal="center" vertical="center"/>
    </xf>
    <xf numFmtId="167" fontId="37" fillId="6" borderId="26" applyAlignment="1" pivotButton="0" quotePrefix="0" xfId="0">
      <alignment horizontal="right" vertical="center"/>
    </xf>
    <xf numFmtId="167" fontId="37" fillId="6" borderId="26" applyAlignment="1" pivotButton="0" quotePrefix="0" xfId="1">
      <alignment horizontal="right" vertical="center"/>
    </xf>
    <xf numFmtId="0" fontId="49" fillId="0" borderId="0" applyAlignment="1" pivotButton="0" quotePrefix="0" xfId="0">
      <alignment horizontal="left" vertical="center"/>
    </xf>
    <xf numFmtId="0" fontId="39" fillId="6" borderId="26" applyAlignment="1" pivotButton="0" quotePrefix="0" xfId="0">
      <alignment horizontal="center" vertical="center"/>
    </xf>
    <xf numFmtId="0" fontId="39" fillId="6" borderId="26" applyAlignment="1" pivotButton="0" quotePrefix="0" xfId="0">
      <alignment horizontal="center" vertical="center"/>
    </xf>
    <xf numFmtId="0" fontId="59" fillId="0" borderId="0" applyAlignment="1" pivotButton="0" quotePrefix="0" xfId="0">
      <alignment horizontal="center" vertical="center"/>
    </xf>
    <xf numFmtId="0" fontId="42" fillId="2" borderId="25" applyAlignment="1" pivotButton="0" quotePrefix="0" xfId="0">
      <alignment horizontal="center" vertical="center" wrapText="1"/>
    </xf>
    <xf numFmtId="164" fontId="36" fillId="0" borderId="0" applyAlignment="1" pivotButton="0" quotePrefix="0" xfId="1">
      <alignment horizontal="left" vertical="center" wrapText="1"/>
    </xf>
    <xf numFmtId="0" fontId="36" fillId="0" borderId="0" applyAlignment="1" pivotButton="0" quotePrefix="0" xfId="0">
      <alignment horizontal="right" vertical="center" wrapText="1"/>
    </xf>
    <xf numFmtId="0" fontId="60" fillId="6" borderId="25" applyAlignment="1" pivotButton="0" quotePrefix="0" xfId="0">
      <alignment horizontal="left" vertical="center" wrapText="1"/>
    </xf>
    <xf numFmtId="0" fontId="60" fillId="6" borderId="25" applyAlignment="1" pivotButton="0" quotePrefix="0" xfId="0">
      <alignment horizontal="center" vertical="center" wrapText="1"/>
    </xf>
    <xf numFmtId="0" fontId="61" fillId="6" borderId="25" applyAlignment="1" pivotButton="0" quotePrefix="0" xfId="0">
      <alignment vertical="center"/>
    </xf>
    <xf numFmtId="0" fontId="62" fillId="6" borderId="25" applyAlignment="1" pivotButton="0" quotePrefix="0" xfId="0">
      <alignment horizontal="left" vertical="center" wrapText="1"/>
    </xf>
    <xf numFmtId="0" fontId="62" fillId="6" borderId="25" applyAlignment="1" pivotButton="0" quotePrefix="0" xfId="0">
      <alignment horizontal="center" vertical="center" wrapText="1"/>
    </xf>
    <xf numFmtId="164" fontId="37" fillId="0" borderId="0" applyAlignment="1" pivotButton="0" quotePrefix="0" xfId="1">
      <alignment vertical="center"/>
    </xf>
    <xf numFmtId="0" fontId="0" fillId="0" borderId="0" pivotButton="0" quotePrefix="0" xfId="0"/>
    <xf numFmtId="0" fontId="0" fillId="0" borderId="40" pivotButton="0" quotePrefix="0" xfId="0"/>
    <xf numFmtId="167" fontId="37" fillId="6" borderId="26" applyAlignment="1" pivotButton="0" quotePrefix="0" xfId="0">
      <alignment horizontal="right" vertical="center"/>
    </xf>
    <xf numFmtId="164" fontId="39" fillId="0" borderId="0" applyAlignment="1" pivotButton="0" quotePrefix="0" xfId="0">
      <alignment vertical="center"/>
    </xf>
    <xf numFmtId="0" fontId="0" fillId="0" borderId="35" pivotButton="0" quotePrefix="0" xfId="0"/>
    <xf numFmtId="164" fontId="37" fillId="0" borderId="0" applyAlignment="1" pivotButton="0" quotePrefix="0" xfId="1">
      <alignment horizontal="center" vertical="center" wrapText="1"/>
    </xf>
    <xf numFmtId="0" fontId="0" fillId="0" borderId="37" pivotButton="0" quotePrefix="0" xfId="0"/>
    <xf numFmtId="164" fontId="36" fillId="0" borderId="0" applyAlignment="1" pivotButton="0" quotePrefix="0" xfId="1">
      <alignment vertical="center" wrapText="1"/>
    </xf>
    <xf numFmtId="0" fontId="0" fillId="0" borderId="25" pivotButton="0" quotePrefix="0" xfId="0"/>
    <xf numFmtId="164" fontId="39" fillId="0" borderId="0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" pivotButton="0" quotePrefix="0" xfId="0"/>
    <xf numFmtId="167" fontId="37" fillId="6" borderId="26" applyAlignment="1" pivotButton="0" quotePrefix="0" xfId="1">
      <alignment horizontal="right" vertical="center"/>
    </xf>
    <xf numFmtId="164" fontId="44" fillId="6" borderId="0" applyAlignment="1" pivotButton="0" quotePrefix="0" xfId="0">
      <alignment horizontal="center" vertical="center" wrapText="1"/>
    </xf>
    <xf numFmtId="166" fontId="27" fillId="0" borderId="0" applyAlignment="1" pivotButton="0" quotePrefix="0" xfId="2">
      <alignment horizontal="center" vertical="center" wrapText="1"/>
    </xf>
    <xf numFmtId="164" fontId="35" fillId="0" borderId="0" applyAlignment="1" pivotButton="0" quotePrefix="0" xfId="1">
      <alignment horizontal="left" vertical="center" wrapText="1"/>
    </xf>
    <xf numFmtId="164" fontId="35" fillId="0" borderId="0" applyAlignment="1" pivotButton="0" quotePrefix="0" xfId="0">
      <alignment horizontal="center" vertical="center" wrapText="1"/>
    </xf>
    <xf numFmtId="164" fontId="35" fillId="0" borderId="0" applyAlignment="1" pivotButton="0" quotePrefix="0" xfId="0">
      <alignment horizontal="left" vertical="center" wrapText="1"/>
    </xf>
    <xf numFmtId="164" fontId="37" fillId="0" borderId="0" applyAlignment="1" pivotButton="0" quotePrefix="0" xfId="1">
      <alignment horizontal="left" vertical="center" wrapText="1"/>
    </xf>
    <xf numFmtId="164" fontId="47" fillId="0" borderId="0" applyAlignment="1" pivotButton="0" quotePrefix="0" xfId="1">
      <alignment horizontal="left" vertical="center" wrapText="1"/>
    </xf>
    <xf numFmtId="164" fontId="47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166" fontId="36" fillId="0" borderId="0" applyAlignment="1" applyProtection="1" pivotButton="0" quotePrefix="0" xfId="2">
      <alignment horizontal="center" vertical="center" wrapText="1"/>
      <protection locked="0" hidden="0"/>
    </xf>
    <xf numFmtId="164" fontId="27" fillId="0" borderId="0" applyAlignment="1" pivotButton="0" quotePrefix="0" xfId="0">
      <alignment horizontal="center" vertical="center" wrapText="1"/>
    </xf>
    <xf numFmtId="166" fontId="20" fillId="0" borderId="0" applyAlignment="1" pivotButton="0" quotePrefix="0" xfId="2">
      <alignment horizontal="center" vertical="center" wrapText="1"/>
    </xf>
    <xf numFmtId="164" fontId="39" fillId="0" borderId="0" applyAlignment="1" pivotButton="0" quotePrefix="0" xfId="0">
      <alignment horizontal="justify" vertical="center" wrapText="1"/>
    </xf>
    <xf numFmtId="164" fontId="46" fillId="0" borderId="0" applyAlignment="1" pivotButton="0" quotePrefix="0" xfId="1">
      <alignment horizontal="center" vertical="center" wrapText="1"/>
    </xf>
    <xf numFmtId="166" fontId="35" fillId="0" borderId="0" applyAlignment="1" applyProtection="1" pivotButton="0" quotePrefix="0" xfId="2">
      <alignment horizontal="center" vertical="center" wrapText="1"/>
      <protection locked="0" hidden="0"/>
    </xf>
    <xf numFmtId="164" fontId="38" fillId="0" borderId="0" applyAlignment="1" pivotButton="0" quotePrefix="0" xfId="0">
      <alignment horizontal="center" vertical="center" wrapText="1"/>
    </xf>
    <xf numFmtId="164" fontId="56" fillId="0" borderId="0" applyAlignment="1" pivotButton="0" quotePrefix="0" xfId="1">
      <alignment horizontal="left" vertical="center" wrapText="1"/>
    </xf>
    <xf numFmtId="164" fontId="20" fillId="0" borderId="0" applyAlignment="1" pivotButton="0" quotePrefix="0" xfId="0">
      <alignment vertical="center" wrapText="1"/>
    </xf>
    <xf numFmtId="166" fontId="37" fillId="0" borderId="0" applyAlignment="1" pivotButton="0" quotePrefix="0" xfId="3">
      <alignment horizontal="center" vertical="center" wrapText="1"/>
    </xf>
    <xf numFmtId="164" fontId="27" fillId="7" borderId="0" applyAlignment="1" pivotButton="0" quotePrefix="0" xfId="0">
      <alignment horizontal="center" vertical="center" wrapText="1"/>
    </xf>
    <xf numFmtId="164" fontId="35" fillId="0" borderId="0" applyAlignment="1" pivotButton="0" quotePrefix="0" xfId="1">
      <alignment horizontal="center" vertical="center" wrapText="1"/>
    </xf>
    <xf numFmtId="164" fontId="37" fillId="0" borderId="0" applyAlignment="1" pivotButton="0" quotePrefix="0" xfId="0">
      <alignment vertical="center" wrapText="1"/>
    </xf>
    <xf numFmtId="164" fontId="27" fillId="0" borderId="0" applyAlignment="1" pivotButton="0" quotePrefix="0" xfId="0">
      <alignment horizontal="left" vertical="center" wrapText="1"/>
    </xf>
    <xf numFmtId="164" fontId="20" fillId="7" borderId="0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center" vertical="center" wrapText="1"/>
    </xf>
    <xf numFmtId="164" fontId="20" fillId="0" borderId="0" applyAlignment="1" pivotButton="0" quotePrefix="0" xfId="1">
      <alignment horizontal="right" vertical="center" wrapText="1"/>
    </xf>
    <xf numFmtId="164" fontId="36" fillId="0" borderId="0" applyAlignment="1" pivotButton="0" quotePrefix="0" xfId="1">
      <alignment horizontal="left" vertical="center" wrapText="1"/>
    </xf>
    <xf numFmtId="164" fontId="46" fillId="0" borderId="0" applyAlignment="1" pivotButton="0" quotePrefix="0" xfId="1">
      <alignment horizontal="justify" vertical="center" wrapText="1"/>
    </xf>
    <xf numFmtId="164" fontId="20" fillId="0" borderId="0" applyAlignment="1" pivotButton="0" quotePrefix="0" xfId="1">
      <alignment horizontal="center" vertical="center" wrapText="1"/>
    </xf>
    <xf numFmtId="164" fontId="35" fillId="0" borderId="0" applyAlignment="1" pivotButton="0" quotePrefix="0" xfId="0">
      <alignment horizontal="justify" vertical="center" wrapText="1"/>
    </xf>
    <xf numFmtId="164" fontId="35" fillId="0" borderId="0" applyAlignment="1" pivotButton="0" quotePrefix="0" xfId="1">
      <alignment horizontal="right" vertical="center" wrapText="1"/>
    </xf>
    <xf numFmtId="164" fontId="47" fillId="0" borderId="0" applyAlignment="1" pivotButton="0" quotePrefix="0" xfId="1">
      <alignment horizontal="right" vertical="center" wrapText="1"/>
    </xf>
    <xf numFmtId="164" fontId="39" fillId="2" borderId="25" applyAlignment="1" pivotButton="0" quotePrefix="0" xfId="0">
      <alignment vertical="center" wrapText="1"/>
    </xf>
    <xf numFmtId="164" fontId="39" fillId="0" borderId="0" applyAlignment="1" pivotButton="0" quotePrefix="0" xfId="1">
      <alignment vertical="center"/>
    </xf>
    <xf numFmtId="164" fontId="0" fillId="0" borderId="26" applyAlignment="1" pivotButton="0" quotePrefix="0" xfId="1">
      <alignment vertical="center"/>
    </xf>
    <xf numFmtId="0" fontId="0" fillId="0" borderId="6" pivotButton="0" quotePrefix="0" xfId="0"/>
    <xf numFmtId="3" fontId="30" fillId="0" borderId="26" applyAlignment="1" pivotButton="0" quotePrefix="0" xfId="0">
      <alignment horizontal="center" vertical="center" wrapText="1"/>
    </xf>
    <xf numFmtId="164" fontId="29" fillId="0" borderId="26" applyAlignment="1" pivotButton="0" quotePrefix="0" xfId="1">
      <alignment horizontal="center" vertical="center"/>
    </xf>
    <xf numFmtId="0" fontId="34" fillId="0" borderId="2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1" pivotButton="0" quotePrefix="0" xfId="0"/>
  </cellXfs>
  <cellStyles count="4">
    <cellStyle name="표준" xfId="0" builtinId="0"/>
    <cellStyle name="쉼표 [0]" xfId="1" builtinId="6"/>
    <cellStyle name="백분율" xfId="2" builtinId="5"/>
    <cellStyle name="60% - 강조색4" xfId="3" builtinId="44"/>
  </cellStyles>
  <dxfs count="5">
    <dxf>
      <font>
        <color rgb="FFFF0000"/>
      </font>
      <fill>
        <patternFill patternType="solid"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88"/>
  <sheetViews>
    <sheetView tabSelected="1" zoomScaleNormal="100" workbookViewId="0">
      <selection activeCell="F4" sqref="F4"/>
    </sheetView>
  </sheetViews>
  <sheetFormatPr baseColWidth="8" defaultRowHeight="16.5"/>
  <cols>
    <col width="3.25" customWidth="1" style="249" min="1" max="1"/>
    <col width="5.375" customWidth="1" style="249" min="2" max="2"/>
    <col width="28.625" customWidth="1" style="399" min="3" max="3"/>
    <col width="13.25" customWidth="1" style="249" min="4" max="4"/>
    <col width="3.75" customWidth="1" style="249" min="5" max="5"/>
    <col width="6.25" customWidth="1" style="249" min="6" max="6"/>
    <col width="3.75" customWidth="1" style="249" min="7" max="8"/>
    <col width="6.25" customWidth="1" style="249" min="9" max="9"/>
    <col width="3.75" customWidth="1" style="249" min="10" max="11"/>
    <col width="6.25" customWidth="1" style="249" min="12" max="12"/>
    <col width="3.75" customWidth="1" style="249" min="13" max="14"/>
    <col width="13.5" customWidth="1" style="249" min="15" max="15"/>
    <col width="10.625" customWidth="1" style="249" min="16" max="16"/>
    <col width="31.875" customWidth="1" style="249" min="17" max="17"/>
    <col width="6.25" customWidth="1" style="249" min="18" max="18"/>
    <col width="7.625" customWidth="1" style="249" min="19" max="19"/>
    <col width="9" customWidth="1" style="249" min="20" max="20"/>
    <col width="16" customWidth="1" style="249" min="21" max="21"/>
    <col width="19.125" customWidth="1" style="249" min="22" max="22"/>
    <col width="18.25" customWidth="1" style="249" min="23" max="23"/>
    <col width="9" customWidth="1" style="249" min="24" max="16384"/>
  </cols>
  <sheetData>
    <row r="1" ht="25.5" customHeight="1" s="400">
      <c r="B1" s="370" t="inlineStr">
        <is>
          <t>9-1. 소요예산 산출내역</t>
        </is>
      </c>
      <c r="R1" s="390" t="inlineStr">
        <is>
          <t>2026.06.11.</t>
        </is>
      </c>
      <c r="T1" s="371" t="inlineStr">
        <is>
          <t>소요예산 총괄표 &lt;자동입력&gt;</t>
        </is>
      </c>
    </row>
    <row r="2" ht="16.5" customHeight="1" s="400">
      <c r="B2" s="387" t="inlineStr">
        <is>
          <t>과제명: 근무규칙 전부 반영 병동 간호인력 배수표 개발: 합성 근무표 편성가능성 계산실험에 의한 산술 하한과 조합 프리미엄의 산정</t>
        </is>
      </c>
      <c r="T2" s="389" t="inlineStr">
        <is>
          <t>연구비목</t>
        </is>
      </c>
      <c r="U2" s="401" t="n"/>
      <c r="V2" s="389" t="inlineStr">
        <is>
          <t>금액(원)</t>
        </is>
      </c>
      <c r="W2" s="389" t="inlineStr">
        <is>
          <t>구성비(%)</t>
        </is>
      </c>
    </row>
    <row r="3">
      <c r="B3" s="387" t="inlineStr">
        <is>
          <t>연구기간: 12개월 (연구 개시일은 협약 시 확정)</t>
        </is>
      </c>
      <c r="T3" s="365" t="inlineStr">
        <is>
          <t>1. 직접비</t>
        </is>
      </c>
      <c r="U3" s="339" t="inlineStr">
        <is>
          <t>①인건비</t>
        </is>
      </c>
      <c r="V3" s="402">
        <f>O10</f>
        <v/>
      </c>
      <c r="W3" s="340">
        <f>IFERROR(V3/V9,"-")</f>
        <v/>
      </c>
    </row>
    <row r="4">
      <c r="B4" s="372" t="n"/>
      <c r="F4" s="209" t="n"/>
      <c r="G4" s="209" t="n"/>
      <c r="H4" s="209" t="n"/>
      <c r="I4" s="209" t="n"/>
      <c r="J4" s="209" t="n"/>
      <c r="K4" s="209" t="n"/>
      <c r="L4" s="209" t="n"/>
      <c r="M4" s="209" t="n"/>
      <c r="N4" s="209" t="n"/>
      <c r="O4" s="403" t="n"/>
      <c r="P4" s="209" t="n"/>
      <c r="Q4" s="209" t="n"/>
      <c r="T4" s="404" t="n"/>
      <c r="U4" s="339" t="inlineStr">
        <is>
          <t>②연구시설장비비</t>
        </is>
      </c>
      <c r="V4" s="402">
        <f>O17</f>
        <v/>
      </c>
      <c r="W4" s="340">
        <f>IFERROR(V4/$V$9,"-")</f>
        <v/>
      </c>
    </row>
    <row r="5">
      <c r="B5" s="211" t="inlineStr">
        <is>
          <t>* 작성방법: 붉은색 글씨 표시된 부분 작성</t>
        </is>
      </c>
      <c r="C5" s="405" t="n"/>
      <c r="K5" s="213" t="n"/>
      <c r="L5" s="373" t="inlineStr">
        <is>
          <t>달러당 환율:</t>
        </is>
      </c>
      <c r="M5" s="406" t="n"/>
      <c r="N5" s="406" t="n"/>
      <c r="O5" s="407" t="n">
        <v>1500</v>
      </c>
      <c r="P5" s="209" t="inlineStr">
        <is>
          <t>원</t>
        </is>
      </c>
      <c r="T5" s="404" t="n"/>
      <c r="U5" s="339" t="inlineStr">
        <is>
          <t>③연구재료비</t>
        </is>
      </c>
      <c r="V5" s="402">
        <f>O26</f>
        <v/>
      </c>
      <c r="W5" s="340">
        <f>IFERROR(V5/$V$9,"-")</f>
        <v/>
      </c>
    </row>
    <row r="6" ht="25.5" customHeight="1" s="400" thickBot="1">
      <c r="B6" s="394" t="inlineStr">
        <is>
          <t>Ⅰ. 직접비</t>
        </is>
      </c>
      <c r="C6" s="408" t="n"/>
      <c r="D6" s="408" t="n"/>
      <c r="E6" s="408" t="n"/>
      <c r="F6" s="408" t="n"/>
      <c r="G6" s="408" t="n"/>
      <c r="H6" s="408" t="n"/>
      <c r="I6" s="408" t="n"/>
      <c r="J6" s="408" t="n"/>
      <c r="K6" s="408" t="n"/>
      <c r="L6" s="408" t="n"/>
      <c r="M6" s="408" t="n"/>
      <c r="N6" s="408" t="n"/>
      <c r="O6" s="395" t="inlineStr">
        <is>
          <t>금액</t>
        </is>
      </c>
      <c r="P6" s="396" t="n"/>
      <c r="Q6" s="395" t="inlineStr">
        <is>
          <t>비고</t>
        </is>
      </c>
      <c r="T6" s="404" t="n"/>
      <c r="U6" s="339" t="inlineStr">
        <is>
          <t>④연구활동비</t>
        </is>
      </c>
      <c r="V6" s="402">
        <f>O31</f>
        <v/>
      </c>
      <c r="W6" s="340">
        <f>IFERROR(V6/$V$9,"-")</f>
        <v/>
      </c>
    </row>
    <row r="7" ht="21.75" customHeight="1" s="400">
      <c r="B7" s="215" t="inlineStr">
        <is>
          <t>○ 직접비 합계</t>
        </is>
      </c>
      <c r="O7" s="409">
        <f>O10+O17+O26+O31+O76</f>
        <v/>
      </c>
      <c r="T7" s="410" t="n"/>
      <c r="U7" s="339" t="inlineStr">
        <is>
          <t>⑤위탁연구개발비</t>
        </is>
      </c>
      <c r="V7" s="402">
        <f>O76</f>
        <v/>
      </c>
      <c r="W7" s="340">
        <f>IFERROR(V7/$V$9,"-")</f>
        <v/>
      </c>
    </row>
    <row r="8" ht="18" customHeight="1" s="400">
      <c r="T8" s="364" t="inlineStr">
        <is>
          <t>2. 간접비(직접비의 6%)</t>
        </is>
      </c>
      <c r="U8" s="401" t="n"/>
      <c r="V8" s="402">
        <f>O84</f>
        <v/>
      </c>
      <c r="W8" s="340">
        <f>IFERROR(V8/$V$9,"-")</f>
        <v/>
      </c>
    </row>
    <row r="9" ht="18" customHeight="1" s="400">
      <c r="B9" s="367" t="inlineStr">
        <is>
          <t>1. 인건비 ('26 기재부 학술연구용역 인건비 기준단가 적용)</t>
        </is>
      </c>
      <c r="C9" s="411" t="n"/>
      <c r="D9" s="411" t="n"/>
      <c r="E9" s="411" t="n"/>
      <c r="F9" s="411" t="n"/>
      <c r="G9" s="411" t="n"/>
      <c r="H9" s="411" t="n"/>
      <c r="I9" s="411" t="n"/>
      <c r="J9" s="411" t="n"/>
      <c r="K9" s="368" t="n"/>
      <c r="L9" s="368" t="n"/>
      <c r="M9" s="368" t="n"/>
      <c r="N9" s="368" t="n"/>
      <c r="O9" s="219" t="inlineStr">
        <is>
          <t>금액</t>
        </is>
      </c>
      <c r="P9" s="220" t="inlineStr">
        <is>
          <t>구성비</t>
        </is>
      </c>
      <c r="Q9" s="221" t="n"/>
      <c r="T9" s="365" t="inlineStr">
        <is>
          <t>합계</t>
        </is>
      </c>
      <c r="U9" s="401" t="n"/>
      <c r="V9" s="412">
        <f>SUM(V3:V8)</f>
        <v/>
      </c>
      <c r="W9" s="340">
        <f>IFERROR(V9/$V$9,"-")</f>
        <v/>
      </c>
    </row>
    <row r="10" ht="18" customHeight="1" s="400">
      <c r="A10" s="226" t="n"/>
      <c r="B10" s="215" t="inlineStr">
        <is>
          <t>○ 인건비 합계</t>
        </is>
      </c>
      <c r="C10" s="223" t="n"/>
      <c r="D10" s="223" t="n"/>
      <c r="E10" s="223" t="n"/>
      <c r="F10" s="223" t="n"/>
      <c r="G10" s="226" t="n"/>
      <c r="H10" s="223" t="n"/>
      <c r="I10" s="226" t="n"/>
      <c r="J10" s="223" t="n"/>
      <c r="K10" s="223" t="n"/>
      <c r="L10" s="226" t="n"/>
      <c r="M10" s="223" t="n"/>
      <c r="N10" s="223" t="n"/>
      <c r="O10" s="413">
        <f>SUM(O12:O14)</f>
        <v/>
      </c>
      <c r="P10" s="414">
        <f>IFERROR(O10/$O$7,"-")</f>
        <v/>
      </c>
      <c r="Q10" s="225" t="inlineStr">
        <is>
          <t>직접비 대비 인건비 비율</t>
        </is>
      </c>
      <c r="R10" s="226" t="n"/>
      <c r="S10" s="226" t="n"/>
      <c r="T10" s="226" t="n"/>
      <c r="U10" s="226" t="n"/>
      <c r="V10" s="226" t="n"/>
      <c r="W10" s="226" t="n"/>
    </row>
    <row r="11" ht="18" customFormat="1" customHeight="1" s="226">
      <c r="A11" s="226" t="n"/>
      <c r="B11" s="226" t="n"/>
      <c r="C11" s="283" t="inlineStr">
        <is>
          <t>등급</t>
        </is>
      </c>
      <c r="D11" s="228" t="inlineStr">
        <is>
          <t>&lt;자동입력&gt;</t>
        </is>
      </c>
      <c r="E11" s="226" t="n"/>
      <c r="F11" s="258" t="inlineStr">
        <is>
          <t>인건비계상율</t>
        </is>
      </c>
      <c r="G11" s="226" t="n"/>
      <c r="H11" s="258" t="n"/>
      <c r="I11" s="230" t="inlineStr">
        <is>
          <t>인원</t>
        </is>
      </c>
      <c r="J11" s="226" t="n"/>
      <c r="K11" s="231" t="n"/>
      <c r="L11" s="226" t="inlineStr">
        <is>
          <t>개월</t>
        </is>
      </c>
      <c r="M11" s="230" t="n"/>
      <c r="N11" s="231" t="n"/>
      <c r="O11" s="232" t="n"/>
      <c r="P11" s="231" t="n"/>
      <c r="Q11" s="226" t="n"/>
      <c r="R11" s="226" t="n"/>
      <c r="S11" s="226" t="n"/>
      <c r="T11" s="226" t="n"/>
      <c r="U11" s="226" t="n"/>
      <c r="V11" s="226" t="n"/>
      <c r="W11" s="226" t="n"/>
    </row>
    <row r="12" ht="18" customFormat="1" customHeight="1" s="226">
      <c r="A12" s="249" t="n"/>
      <c r="B12" s="233" t="n"/>
      <c r="C12" s="319" t="inlineStr">
        <is>
          <t>연구원</t>
        </is>
      </c>
      <c r="D12" s="415">
        <f>마스터!C4</f>
        <v/>
      </c>
      <c r="E12" s="283" t="inlineStr">
        <is>
          <t>×</t>
        </is>
      </c>
      <c r="F12" s="321" t="n">
        <v>0.1</v>
      </c>
      <c r="G12" s="249" t="inlineStr">
        <is>
          <t>%</t>
        </is>
      </c>
      <c r="H12" s="283" t="inlineStr">
        <is>
          <t>×</t>
        </is>
      </c>
      <c r="I12" s="322" t="n">
        <v>0</v>
      </c>
      <c r="J12" s="249" t="inlineStr">
        <is>
          <t>명</t>
        </is>
      </c>
      <c r="K12" s="283" t="inlineStr">
        <is>
          <t>×</t>
        </is>
      </c>
      <c r="L12" s="322" t="n">
        <v>0</v>
      </c>
      <c r="M12" s="249" t="inlineStr">
        <is>
          <t>월</t>
        </is>
      </c>
      <c r="N12" s="266" t="inlineStr">
        <is>
          <t>=</t>
        </is>
      </c>
      <c r="O12" s="416">
        <f>D12*F12*I12*L12</f>
        <v/>
      </c>
      <c r="P12" s="284" t="n"/>
      <c r="Q12" s="417" t="n"/>
      <c r="R12" s="249" t="n"/>
      <c r="S12" s="249" t="n"/>
      <c r="T12" s="249" t="n"/>
      <c r="U12" s="249" t="n"/>
      <c r="V12" s="249" t="n"/>
      <c r="W12" s="249" t="n"/>
    </row>
    <row r="13" ht="18" customHeight="1" s="400">
      <c r="B13" s="233" t="n"/>
      <c r="C13" s="319" t="inlineStr">
        <is>
          <t>연구보조원</t>
        </is>
      </c>
      <c r="D13" s="415">
        <f>마스터!C5</f>
        <v/>
      </c>
      <c r="E13" s="283" t="inlineStr">
        <is>
          <t>×</t>
        </is>
      </c>
      <c r="F13" s="321" t="n">
        <v>0.05</v>
      </c>
      <c r="G13" s="249" t="inlineStr">
        <is>
          <t>%</t>
        </is>
      </c>
      <c r="H13" s="283" t="inlineStr">
        <is>
          <t>×</t>
        </is>
      </c>
      <c r="I13" s="322" t="n">
        <v>0</v>
      </c>
      <c r="J13" s="249" t="inlineStr">
        <is>
          <t>명</t>
        </is>
      </c>
      <c r="K13" s="283" t="inlineStr">
        <is>
          <t>×</t>
        </is>
      </c>
      <c r="L13" s="322" t="n">
        <v>0</v>
      </c>
      <c r="M13" s="249" t="inlineStr">
        <is>
          <t>월</t>
        </is>
      </c>
      <c r="N13" s="266" t="inlineStr">
        <is>
          <t>=</t>
        </is>
      </c>
      <c r="O13" s="416">
        <f>D13*F13*I13*L13</f>
        <v/>
      </c>
      <c r="P13" s="284" t="n"/>
      <c r="Q13" s="417" t="n"/>
    </row>
    <row r="14" ht="18" customHeight="1" s="400">
      <c r="B14" s="233" t="n"/>
      <c r="C14" s="319" t="inlineStr">
        <is>
          <t>보조원</t>
        </is>
      </c>
      <c r="D14" s="418">
        <f>마스터!C6</f>
        <v/>
      </c>
      <c r="E14" s="283" t="inlineStr">
        <is>
          <t>×</t>
        </is>
      </c>
      <c r="F14" s="321" t="n">
        <v>0.05</v>
      </c>
      <c r="G14" s="249" t="inlineStr">
        <is>
          <t>%</t>
        </is>
      </c>
      <c r="H14" s="283" t="inlineStr">
        <is>
          <t>×</t>
        </is>
      </c>
      <c r="I14" s="322" t="n">
        <v>0</v>
      </c>
      <c r="J14" s="249" t="inlineStr">
        <is>
          <t>명</t>
        </is>
      </c>
      <c r="K14" s="283" t="inlineStr">
        <is>
          <t>×</t>
        </is>
      </c>
      <c r="L14" s="322" t="n">
        <v>0</v>
      </c>
      <c r="M14" s="249" t="inlineStr">
        <is>
          <t>월</t>
        </is>
      </c>
      <c r="N14" s="266" t="inlineStr">
        <is>
          <t>=</t>
        </is>
      </c>
      <c r="O14" s="416">
        <f>D14*F14*I14*L14</f>
        <v/>
      </c>
      <c r="P14" s="324" t="n"/>
      <c r="Q14" s="417" t="n"/>
    </row>
    <row r="15" ht="18" customHeight="1" s="400">
      <c r="B15" s="324" t="n"/>
      <c r="C15" s="242" t="n"/>
      <c r="D15" s="419" t="n"/>
      <c r="E15" s="246" t="n"/>
      <c r="F15" s="246" t="n"/>
      <c r="G15" s="246" t="n"/>
      <c r="H15" s="246" t="n"/>
      <c r="I15" s="246" t="n"/>
      <c r="J15" s="245" t="n"/>
      <c r="K15" s="246" t="n"/>
      <c r="L15" s="246" t="n"/>
      <c r="M15" s="245" t="n"/>
      <c r="N15" s="246" t="n"/>
      <c r="O15" s="420" t="n"/>
      <c r="P15" s="245" t="n"/>
    </row>
    <row r="16" ht="18" customHeight="1" s="400">
      <c r="B16" s="363" t="inlineStr">
        <is>
          <t>2. 연구 시설·장비비 (단, 범용성 장비에 대해서는 총 연구비 10% 이내)</t>
        </is>
      </c>
      <c r="C16" s="411" t="n"/>
      <c r="D16" s="411" t="n"/>
      <c r="E16" s="411" t="n"/>
      <c r="F16" s="411" t="n"/>
      <c r="G16" s="411" t="n"/>
      <c r="H16" s="411" t="n"/>
      <c r="I16" s="411" t="n"/>
      <c r="J16" s="411" t="n"/>
      <c r="K16" s="411" t="n"/>
      <c r="L16" s="411" t="n"/>
      <c r="M16" s="411" t="n"/>
      <c r="N16" s="411" t="n"/>
      <c r="O16" s="219" t="inlineStr">
        <is>
          <t>금액</t>
        </is>
      </c>
      <c r="P16" s="219" t="inlineStr">
        <is>
          <t>구성비</t>
        </is>
      </c>
      <c r="Q16" s="221" t="n"/>
    </row>
    <row r="17" ht="18" customHeight="1" s="400">
      <c r="B17" s="369" t="inlineStr">
        <is>
          <t>○ 연구시설장비비 합계</t>
        </is>
      </c>
      <c r="C17" s="421" t="n"/>
      <c r="D17" s="421" t="n"/>
      <c r="E17" s="421" t="n"/>
      <c r="F17" s="421" t="n"/>
      <c r="G17" s="421" t="n"/>
      <c r="H17" s="421" t="n"/>
      <c r="I17" s="421" t="n"/>
      <c r="J17" s="421" t="n"/>
      <c r="K17" s="421" t="n"/>
      <c r="L17" s="248" t="n"/>
      <c r="M17" s="248" t="n"/>
      <c r="N17" s="248" t="n"/>
      <c r="O17" s="330">
        <f>O18+O22</f>
        <v/>
      </c>
      <c r="P17" s="422">
        <f>IFERROR(O17/$O$7,"-")</f>
        <v/>
      </c>
      <c r="Q17" s="225" t="inlineStr">
        <is>
          <t>직접비 대비 연구시설장비비 비율</t>
        </is>
      </c>
    </row>
    <row r="18" ht="18" customHeight="1" s="400">
      <c r="A18" s="249" t="n"/>
      <c r="B18" s="278" t="inlineStr">
        <is>
          <t>▶ 연구시설, 장비 구매</t>
        </is>
      </c>
      <c r="C18" s="251" t="n"/>
      <c r="D18" s="258" t="inlineStr">
        <is>
          <t>단가(부가세 포함)</t>
        </is>
      </c>
      <c r="E18" s="231" t="n"/>
      <c r="F18" s="230" t="n"/>
      <c r="G18" s="231" t="n"/>
      <c r="H18" s="231" t="n"/>
      <c r="I18" s="231" t="n"/>
      <c r="J18" s="231" t="n"/>
      <c r="K18" s="253" t="n"/>
      <c r="L18" s="251" t="n"/>
      <c r="M18" s="251" t="n"/>
      <c r="N18" s="251" t="n"/>
      <c r="O18" s="423">
        <f>SUM(O19:O21)</f>
        <v/>
      </c>
      <c r="P18" s="424">
        <f>IFERROR(O18/$O$7,"-")</f>
        <v/>
      </c>
      <c r="Q18" s="249" t="n"/>
      <c r="R18" s="249" t="n"/>
      <c r="S18" s="249" t="n"/>
      <c r="T18" s="249" t="n"/>
      <c r="U18" s="249" t="n"/>
      <c r="V18" s="249" t="n"/>
      <c r="W18" s="249" t="n"/>
    </row>
    <row r="19" ht="18" customFormat="1" customHeight="1" s="249">
      <c r="A19" s="249" t="n"/>
      <c r="B19" s="248" t="n"/>
      <c r="C19" s="319" t="inlineStr">
        <is>
          <t>신규 장비명</t>
        </is>
      </c>
      <c r="D19" s="322" t="n">
        <v>0</v>
      </c>
      <c r="E19" s="283" t="inlineStr">
        <is>
          <t>×</t>
        </is>
      </c>
      <c r="F19" s="322" t="n"/>
      <c r="G19" s="266" t="inlineStr">
        <is>
          <t>개</t>
        </is>
      </c>
      <c r="H19" s="248" t="n"/>
      <c r="I19" s="248" t="n"/>
      <c r="J19" s="248" t="n"/>
      <c r="K19" s="249" t="n"/>
      <c r="L19" s="248" t="n"/>
      <c r="M19" s="248" t="n"/>
      <c r="N19" s="266" t="inlineStr">
        <is>
          <t>=</t>
        </is>
      </c>
      <c r="O19" s="289">
        <f>D19*F19</f>
        <v/>
      </c>
      <c r="P19" s="414" t="n"/>
      <c r="Q19" s="249" t="n"/>
      <c r="R19" s="249" t="n"/>
      <c r="S19" s="249" t="n"/>
      <c r="T19" s="249" t="n"/>
      <c r="U19" s="249" t="n"/>
      <c r="V19" s="249" t="n"/>
      <c r="W19" s="249" t="n"/>
    </row>
    <row r="20" ht="18" customHeight="1" s="400">
      <c r="B20" s="248" t="n"/>
      <c r="C20" s="319" t="inlineStr">
        <is>
          <t>s/w명</t>
        </is>
      </c>
      <c r="D20" s="322" t="n">
        <v>0</v>
      </c>
      <c r="E20" s="283" t="inlineStr">
        <is>
          <t>×</t>
        </is>
      </c>
      <c r="F20" s="322" t="n"/>
      <c r="G20" s="266" t="inlineStr">
        <is>
          <t>개</t>
        </is>
      </c>
      <c r="H20" s="248" t="n"/>
      <c r="I20" s="248" t="n"/>
      <c r="J20" s="248" t="n"/>
      <c r="L20" s="248" t="n"/>
      <c r="M20" s="248" t="n"/>
      <c r="N20" s="266" t="inlineStr">
        <is>
          <t>=</t>
        </is>
      </c>
      <c r="O20" s="289">
        <f>D20*F20</f>
        <v/>
      </c>
      <c r="P20" s="414" t="n"/>
    </row>
    <row r="21" ht="18" customHeight="1" s="400">
      <c r="B21" s="248" t="n"/>
      <c r="C21" s="319" t="inlineStr">
        <is>
          <t>비품명</t>
        </is>
      </c>
      <c r="D21" s="322" t="n">
        <v>0</v>
      </c>
      <c r="E21" s="283" t="inlineStr">
        <is>
          <t>×</t>
        </is>
      </c>
      <c r="F21" s="322" t="n"/>
      <c r="G21" s="266" t="inlineStr">
        <is>
          <t>개</t>
        </is>
      </c>
      <c r="H21" s="248" t="n"/>
      <c r="I21" s="248" t="n"/>
      <c r="J21" s="248" t="n"/>
      <c r="L21" s="248" t="n"/>
      <c r="M21" s="248" t="n"/>
      <c r="N21" s="266" t="inlineStr">
        <is>
          <t>=</t>
        </is>
      </c>
      <c r="O21" s="289">
        <f>D21*F21</f>
        <v/>
      </c>
      <c r="P21" s="414" t="n"/>
    </row>
    <row r="22" ht="18" customHeight="1" s="400">
      <c r="A22" s="249" t="n"/>
      <c r="B22" s="257" t="inlineStr">
        <is>
          <t>▶ 범용성 장비 구매(총 연구비의 10% 이내)</t>
        </is>
      </c>
      <c r="C22" s="251" t="n"/>
      <c r="D22" s="425" t="n"/>
      <c r="E22" s="231" t="n"/>
      <c r="F22" s="231" t="n"/>
      <c r="G22" s="231" t="n"/>
      <c r="H22" s="231" t="n"/>
      <c r="I22" s="231" t="n"/>
      <c r="J22" s="231" t="n"/>
      <c r="K22" s="253" t="n"/>
      <c r="L22" s="251" t="n"/>
      <c r="M22" s="251" t="n"/>
      <c r="N22" s="251" t="n"/>
      <c r="O22" s="423">
        <f>SUM(O23)</f>
        <v/>
      </c>
      <c r="P22" s="424">
        <f>IFERROR(O22/O87,"-")</f>
        <v/>
      </c>
      <c r="Q22" s="258" t="inlineStr">
        <is>
          <t>붉은색표시-기준초과 수정필요</t>
        </is>
      </c>
      <c r="R22" s="249" t="n"/>
      <c r="S22" s="249" t="n"/>
      <c r="T22" s="249" t="n"/>
      <c r="U22" s="249" t="n"/>
      <c r="V22" s="249" t="n"/>
      <c r="W22" s="249" t="n"/>
    </row>
    <row r="23" ht="18" customFormat="1" customHeight="1" s="249">
      <c r="A23" s="249" t="n"/>
      <c r="B23" s="248" t="n"/>
      <c r="C23" s="319" t="inlineStr">
        <is>
          <t>범용성 장비명</t>
        </is>
      </c>
      <c r="D23" s="426" t="n"/>
      <c r="E23" s="283" t="inlineStr">
        <is>
          <t>×</t>
        </is>
      </c>
      <c r="F23" s="322" t="n"/>
      <c r="G23" s="266" t="inlineStr">
        <is>
          <t>개</t>
        </is>
      </c>
      <c r="H23" s="248" t="n"/>
      <c r="I23" s="248" t="n"/>
      <c r="J23" s="248" t="n"/>
      <c r="K23" s="249" t="n"/>
      <c r="L23" s="248" t="n"/>
      <c r="M23" s="248" t="n"/>
      <c r="N23" s="266" t="inlineStr">
        <is>
          <t>=</t>
        </is>
      </c>
      <c r="O23" s="289">
        <f>D23*F23</f>
        <v/>
      </c>
      <c r="P23" s="427">
        <f>IFERROR(O23/$O$7,"-")</f>
        <v/>
      </c>
      <c r="Q23" s="249" t="n"/>
      <c r="R23" s="249" t="n"/>
      <c r="S23" s="249" t="n"/>
      <c r="T23" s="249" t="n"/>
      <c r="U23" s="249" t="n"/>
      <c r="V23" s="249" t="n"/>
      <c r="W23" s="249" t="n"/>
    </row>
    <row r="24" ht="18" customHeight="1" s="400">
      <c r="B24" s="324" t="n"/>
      <c r="C24" s="242" t="n"/>
      <c r="D24" s="251" t="n"/>
      <c r="E24" s="283" t="n"/>
      <c r="F24" s="251" t="n"/>
      <c r="G24" s="251" t="n"/>
      <c r="H24" s="283" t="n"/>
      <c r="I24" s="251" t="n"/>
      <c r="J24" s="251" t="n"/>
      <c r="K24" s="266" t="n"/>
      <c r="L24" s="248" t="n"/>
      <c r="M24" s="248" t="n"/>
      <c r="N24" s="248" t="n"/>
      <c r="O24" s="260" t="n"/>
      <c r="P24" s="414" t="n"/>
    </row>
    <row r="25" ht="18" customHeight="1" s="400">
      <c r="B25" s="363" t="inlineStr">
        <is>
          <t>3. 연구재료비</t>
        </is>
      </c>
      <c r="C25" s="411" t="n"/>
      <c r="D25" s="411" t="n"/>
      <c r="E25" s="411" t="n"/>
      <c r="F25" s="411" t="n"/>
      <c r="G25" s="411" t="n"/>
      <c r="H25" s="411" t="n"/>
      <c r="I25" s="411" t="n"/>
      <c r="J25" s="411" t="n"/>
      <c r="K25" s="411" t="n"/>
      <c r="L25" s="411" t="n"/>
      <c r="M25" s="411" t="n"/>
      <c r="N25" s="411" t="n"/>
      <c r="O25" s="219" t="inlineStr">
        <is>
          <t>금액</t>
        </is>
      </c>
      <c r="P25" s="219" t="inlineStr">
        <is>
          <t>구성비</t>
        </is>
      </c>
      <c r="Q25" s="221" t="n"/>
    </row>
    <row r="26" ht="18" customHeight="1" s="400">
      <c r="B26" s="215" t="inlineStr">
        <is>
          <t>○ 연구재료비 합계</t>
        </is>
      </c>
      <c r="C26" s="251" t="n"/>
      <c r="D26" s="258" t="inlineStr">
        <is>
          <t>단가(부가세 포함)</t>
        </is>
      </c>
      <c r="E26" s="251" t="n"/>
      <c r="F26" s="230" t="n"/>
      <c r="G26" s="251" t="n"/>
      <c r="H26" s="251" t="n"/>
      <c r="I26" s="230" t="n"/>
      <c r="J26" s="251" t="n"/>
      <c r="K26" s="251" t="n"/>
      <c r="L26" s="251" t="n"/>
      <c r="M26" s="251" t="n"/>
      <c r="N26" s="251" t="n"/>
      <c r="O26" s="330">
        <f>SUM(O27:O28)</f>
        <v/>
      </c>
      <c r="P26" s="414">
        <f>IFERROR(O26/$O$7,"-")</f>
        <v/>
      </c>
      <c r="Q26" s="225" t="inlineStr">
        <is>
          <t>직접비 대비 연구재료비 비율</t>
        </is>
      </c>
    </row>
    <row r="27" ht="18" customHeight="1" s="400">
      <c r="B27" s="248" t="n"/>
      <c r="C27" s="324" t="inlineStr">
        <is>
          <t>시약재료 구입비</t>
        </is>
      </c>
      <c r="D27" s="322" t="n">
        <v>0</v>
      </c>
      <c r="E27" s="283" t="inlineStr">
        <is>
          <t>×</t>
        </is>
      </c>
      <c r="F27" s="322" t="n">
        <v>0</v>
      </c>
      <c r="G27" s="266" t="inlineStr">
        <is>
          <t>개</t>
        </is>
      </c>
      <c r="H27" s="283" t="inlineStr">
        <is>
          <t>×</t>
        </is>
      </c>
      <c r="I27" s="322" t="n">
        <v>0</v>
      </c>
      <c r="J27" s="283" t="inlineStr">
        <is>
          <t>회</t>
        </is>
      </c>
      <c r="L27" s="251" t="n"/>
      <c r="M27" s="251" t="n"/>
      <c r="N27" s="266" t="inlineStr">
        <is>
          <t>=</t>
        </is>
      </c>
      <c r="O27" s="289">
        <f>D27*F27*I27</f>
        <v/>
      </c>
      <c r="P27" s="414" t="n"/>
      <c r="Q27" s="261" t="inlineStr">
        <is>
          <t>견적서 별첨 또는 계획서 견적서 서식 작성</t>
        </is>
      </c>
    </row>
    <row r="28" ht="18" customHeight="1" s="400">
      <c r="B28" s="262" t="n"/>
      <c r="C28" s="284" t="n"/>
      <c r="D28" s="322" t="n">
        <v>0</v>
      </c>
      <c r="E28" s="283" t="inlineStr">
        <is>
          <t>×</t>
        </is>
      </c>
      <c r="F28" s="322" t="n">
        <v>0</v>
      </c>
      <c r="G28" s="266" t="inlineStr">
        <is>
          <t>개</t>
        </is>
      </c>
      <c r="H28" s="283" t="inlineStr">
        <is>
          <t>×</t>
        </is>
      </c>
      <c r="I28" s="322" t="n">
        <v>0</v>
      </c>
      <c r="J28" s="283" t="inlineStr">
        <is>
          <t>회</t>
        </is>
      </c>
      <c r="L28" s="251" t="n"/>
      <c r="M28" s="251" t="n"/>
      <c r="N28" s="266" t="inlineStr">
        <is>
          <t>=</t>
        </is>
      </c>
      <c r="O28" s="289">
        <f>D28*F28*I28</f>
        <v/>
      </c>
      <c r="P28" s="414" t="n"/>
    </row>
    <row r="29" ht="18" customHeight="1" s="400">
      <c r="B29" s="324" t="n"/>
      <c r="C29" s="283" t="n"/>
      <c r="D29" s="419" t="n"/>
      <c r="E29" s="246" t="n"/>
      <c r="F29" s="246" t="n"/>
      <c r="G29" s="246" t="n"/>
      <c r="H29" s="246" t="n"/>
      <c r="I29" s="246" t="n"/>
      <c r="J29" s="245" t="n"/>
      <c r="K29" s="246" t="n"/>
      <c r="L29" s="246" t="n"/>
      <c r="M29" s="245" t="n"/>
      <c r="N29" s="246" t="n"/>
      <c r="O29" s="420" t="n"/>
      <c r="P29" s="245" t="n"/>
    </row>
    <row r="30" ht="18" customHeight="1" s="400">
      <c r="A30" s="264" t="n"/>
      <c r="B30" s="368" t="inlineStr">
        <is>
          <t>4. 연구활동비</t>
        </is>
      </c>
      <c r="C30" s="411" t="n"/>
      <c r="D30" s="411" t="n"/>
      <c r="E30" s="411" t="n"/>
      <c r="F30" s="411" t="n"/>
      <c r="G30" s="411" t="n"/>
      <c r="H30" s="411" t="n"/>
      <c r="I30" s="411" t="n"/>
      <c r="J30" s="411" t="n"/>
      <c r="K30" s="368" t="n"/>
      <c r="L30" s="368" t="n"/>
      <c r="M30" s="368" t="n"/>
      <c r="N30" s="368" t="n"/>
      <c r="O30" s="219" t="inlineStr">
        <is>
          <t>금액</t>
        </is>
      </c>
      <c r="P30" s="219" t="inlineStr">
        <is>
          <t>구성비</t>
        </is>
      </c>
      <c r="Q30" s="219" t="inlineStr">
        <is>
          <t>비고</t>
        </is>
      </c>
      <c r="R30" s="219" t="inlineStr">
        <is>
          <t>등급</t>
        </is>
      </c>
      <c r="S30" s="264" t="n"/>
      <c r="T30" s="264" t="n"/>
      <c r="U30" s="264" t="n"/>
      <c r="V30" s="264" t="n"/>
      <c r="W30" s="264" t="n"/>
    </row>
    <row r="31" ht="18" customFormat="1" customHeight="1" s="264">
      <c r="B31" s="215" t="inlineStr">
        <is>
          <t>○ 연구활동비 합계</t>
        </is>
      </c>
      <c r="C31" s="251" t="n"/>
      <c r="D31" s="251" t="n"/>
      <c r="E31" s="251" t="n"/>
      <c r="F31" s="251" t="n"/>
      <c r="G31" s="251" t="n"/>
      <c r="H31" s="251" t="n"/>
      <c r="I31" s="251" t="n"/>
      <c r="J31" s="251" t="n"/>
      <c r="K31" s="251" t="n"/>
      <c r="L31" s="251" t="n"/>
      <c r="M31" s="251" t="n"/>
      <c r="N31" s="251" t="n"/>
      <c r="O31" s="330">
        <f>O38+O32+O49+O63+O57+O69+O54+O46</f>
        <v/>
      </c>
      <c r="P31" s="414">
        <f>IFERROR(O31/$O$7,"-")</f>
        <v/>
      </c>
      <c r="Q31" s="225" t="inlineStr">
        <is>
          <t>직접비 대비 연구활동비 비율</t>
        </is>
      </c>
    </row>
    <row r="32" ht="18" customFormat="1" customHeight="1" s="264">
      <c r="A32" s="264" t="n"/>
      <c r="B32" s="278" t="inlineStr">
        <is>
          <t>▶ 국내여비</t>
        </is>
      </c>
      <c r="C32" s="251" t="n"/>
      <c r="D32" s="428" t="inlineStr">
        <is>
          <t>추정금액</t>
        </is>
      </c>
      <c r="E32" s="283" t="n"/>
      <c r="F32" s="283" t="n"/>
      <c r="G32" s="266" t="n"/>
      <c r="H32" s="283" t="n"/>
      <c r="I32" s="283" t="n"/>
      <c r="J32" s="266" t="n"/>
      <c r="K32" s="251" t="n"/>
      <c r="L32" s="251" t="n"/>
      <c r="M32" s="251" t="n"/>
      <c r="N32" s="251" t="n"/>
      <c r="O32" s="331">
        <f>SUM(O33:O37)</f>
        <v/>
      </c>
      <c r="P32" s="328">
        <f>IFERROR(O32/$O$7,"-")</f>
        <v/>
      </c>
      <c r="Q32" s="225" t="inlineStr">
        <is>
          <t>마스터-국내 여비 등급 구분표 참고</t>
        </is>
      </c>
      <c r="R32" s="264" t="n"/>
      <c r="S32" s="264" t="n"/>
    </row>
    <row r="33" ht="18" customFormat="1" customHeight="1" s="264">
      <c r="A33" s="211" t="n"/>
      <c r="B33" s="302" t="n"/>
      <c r="C33" s="324" t="inlineStr">
        <is>
          <t>운임비 실비(공통) — 학회 발표 2회 × 1인당 편도 4회</t>
        </is>
      </c>
      <c r="D33" s="322" t="n">
        <v>50000</v>
      </c>
      <c r="E33" s="266" t="inlineStr">
        <is>
          <t>×</t>
        </is>
      </c>
      <c r="F33" s="322" t="n">
        <v>2</v>
      </c>
      <c r="G33" s="266" t="inlineStr">
        <is>
          <t>명</t>
        </is>
      </c>
      <c r="H33" s="266" t="inlineStr">
        <is>
          <t>×</t>
        </is>
      </c>
      <c r="I33" s="322" t="n">
        <v>4</v>
      </c>
      <c r="J33" s="266" t="inlineStr">
        <is>
          <t>회</t>
        </is>
      </c>
      <c r="K33" s="266" t="n"/>
      <c r="L33" s="251" t="n"/>
      <c r="M33" s="251" t="n"/>
      <c r="N33" s="266" t="inlineStr">
        <is>
          <t>=</t>
        </is>
      </c>
      <c r="O33" s="269">
        <f>D33*F33*I33</f>
        <v/>
      </c>
      <c r="P33" s="231" t="n"/>
      <c r="Q33" s="274" t="inlineStr">
        <is>
          <t>실비 기재</t>
        </is>
      </c>
    </row>
    <row r="34" ht="18" customFormat="1" customHeight="1" s="264">
      <c r="B34" s="267" t="n"/>
      <c r="C34" s="324" t="inlineStr">
        <is>
          <t>숙박비 실비(원장&amp;관리직)</t>
        </is>
      </c>
      <c r="D34" s="322" t="n">
        <v>0</v>
      </c>
      <c r="E34" s="266" t="inlineStr">
        <is>
          <t>×</t>
        </is>
      </c>
      <c r="F34" s="322" t="n">
        <v>0</v>
      </c>
      <c r="G34" s="266" t="inlineStr">
        <is>
          <t>명</t>
        </is>
      </c>
      <c r="H34" s="266" t="inlineStr">
        <is>
          <t>×</t>
        </is>
      </c>
      <c r="I34" s="322" t="n">
        <v>0</v>
      </c>
      <c r="J34" s="266" t="inlineStr">
        <is>
          <t>박</t>
        </is>
      </c>
      <c r="K34" s="266" t="n"/>
      <c r="L34" s="251" t="n"/>
      <c r="M34" s="251" t="n"/>
      <c r="N34" s="266" t="inlineStr">
        <is>
          <t>=</t>
        </is>
      </c>
      <c r="O34" s="269">
        <f>D34*F34*I34</f>
        <v/>
      </c>
      <c r="P34" s="231" t="n"/>
      <c r="Q34" s="274" t="inlineStr">
        <is>
          <t>실비 기재</t>
        </is>
      </c>
      <c r="R34" s="337" t="inlineStr">
        <is>
          <t>마스터 "국내 숙박비 등급" 입력</t>
        </is>
      </c>
      <c r="T34" s="271" t="n"/>
    </row>
    <row r="35" ht="18" customFormat="1" customHeight="1" s="264">
      <c r="B35" s="267" t="n"/>
      <c r="C35" s="324" t="inlineStr">
        <is>
          <t>숙박비 상한액(그외 직원)</t>
        </is>
      </c>
      <c r="D35" s="429">
        <f>VLOOKUP(R35,마스터!$C$10:$E$15,3,FALSE)</f>
        <v/>
      </c>
      <c r="E35" s="266" t="inlineStr">
        <is>
          <t>×</t>
        </is>
      </c>
      <c r="F35" s="322" t="n">
        <v>2</v>
      </c>
      <c r="G35" s="266" t="inlineStr">
        <is>
          <t>명</t>
        </is>
      </c>
      <c r="H35" s="266" t="inlineStr">
        <is>
          <t>×</t>
        </is>
      </c>
      <c r="I35" s="322" t="n">
        <v>2</v>
      </c>
      <c r="J35" s="266" t="inlineStr">
        <is>
          <t>박</t>
        </is>
      </c>
      <c r="K35" s="266" t="n"/>
      <c r="L35" s="251" t="n"/>
      <c r="M35" s="251" t="n"/>
      <c r="N35" s="266" t="inlineStr">
        <is>
          <t>=</t>
        </is>
      </c>
      <c r="O35" s="269">
        <f>D35*F35*I35</f>
        <v/>
      </c>
      <c r="P35" s="231" t="n"/>
      <c r="Q35" s="276" t="n"/>
      <c r="R35" s="322" t="inlineStr">
        <is>
          <t>가</t>
        </is>
      </c>
      <c r="S35" s="277" t="n"/>
    </row>
    <row r="36" ht="18" customFormat="1" customHeight="1" s="264">
      <c r="B36" s="267" t="n"/>
      <c r="C36" s="324" t="inlineStr">
        <is>
          <t>일비 정액(공통)</t>
        </is>
      </c>
      <c r="D36" s="430" t="n">
        <v>25000</v>
      </c>
      <c r="E36" s="266" t="inlineStr">
        <is>
          <t>×</t>
        </is>
      </c>
      <c r="F36" s="322" t="n">
        <v>2</v>
      </c>
      <c r="G36" s="266" t="inlineStr">
        <is>
          <t>명</t>
        </is>
      </c>
      <c r="H36" s="266" t="inlineStr">
        <is>
          <t>×</t>
        </is>
      </c>
      <c r="I36" s="322" t="n">
        <v>4</v>
      </c>
      <c r="J36" s="266" t="inlineStr">
        <is>
          <t>일</t>
        </is>
      </c>
      <c r="K36" s="266" t="n"/>
      <c r="L36" s="251" t="n"/>
      <c r="M36" s="251" t="n"/>
      <c r="N36" s="266" t="inlineStr">
        <is>
          <t>=</t>
        </is>
      </c>
      <c r="O36" s="269">
        <f>D36*F36*I36</f>
        <v/>
      </c>
      <c r="P36" s="231" t="n"/>
      <c r="Q36" s="270" t="n"/>
      <c r="T36" s="271" t="n"/>
      <c r="U36" s="271" t="n"/>
      <c r="V36" s="272" t="n"/>
    </row>
    <row r="37" ht="18" customFormat="1" customHeight="1" s="264">
      <c r="B37" s="267" t="n"/>
      <c r="C37" s="324" t="inlineStr">
        <is>
          <t>식비 정액(공통)</t>
        </is>
      </c>
      <c r="D37" s="415" t="n">
        <v>25000</v>
      </c>
      <c r="E37" s="266" t="inlineStr">
        <is>
          <t>×</t>
        </is>
      </c>
      <c r="F37" s="322" t="n">
        <v>2</v>
      </c>
      <c r="G37" s="266" t="inlineStr">
        <is>
          <t>명</t>
        </is>
      </c>
      <c r="H37" s="266" t="inlineStr">
        <is>
          <t>×</t>
        </is>
      </c>
      <c r="I37" s="322" t="n">
        <v>4</v>
      </c>
      <c r="J37" s="266" t="inlineStr">
        <is>
          <t>일</t>
        </is>
      </c>
      <c r="K37" s="266" t="n"/>
      <c r="L37" s="251" t="n"/>
      <c r="M37" s="251" t="n"/>
      <c r="N37" s="266" t="inlineStr">
        <is>
          <t>=</t>
        </is>
      </c>
      <c r="O37" s="269">
        <f>D37*F37*I37</f>
        <v/>
      </c>
      <c r="P37" s="231" t="n"/>
      <c r="Q37" s="249" t="n"/>
      <c r="R37" s="322" t="inlineStr">
        <is>
          <t>나</t>
        </is>
      </c>
      <c r="T37" s="249" t="n"/>
      <c r="U37" s="249" t="n"/>
      <c r="V37" s="249" t="n"/>
      <c r="W37" s="249" t="n"/>
    </row>
    <row r="38" ht="18" customFormat="1" customHeight="1" s="264">
      <c r="A38" s="264" t="n"/>
      <c r="B38" s="278" t="inlineStr">
        <is>
          <t xml:space="preserve">▶ 국외여비 </t>
        </is>
      </c>
      <c r="C38" s="251" t="n"/>
      <c r="E38" s="251" t="n"/>
      <c r="F38" s="251" t="n"/>
      <c r="G38" s="251" t="n"/>
      <c r="H38" s="251" t="n"/>
      <c r="I38" s="251" t="n"/>
      <c r="J38" s="251" t="n"/>
      <c r="K38" s="251" t="n"/>
      <c r="L38" s="251" t="n"/>
      <c r="M38" s="251" t="n"/>
      <c r="N38" s="251" t="n"/>
      <c r="O38" s="334">
        <f>SUM(O42:O45)</f>
        <v/>
      </c>
      <c r="P38" s="431">
        <f>IFERROR(O38/$O$7,"-")</f>
        <v/>
      </c>
      <c r="Q38" s="270" t="inlineStr">
        <is>
          <t>붉은색표시-기준초과 수정필요</t>
        </is>
      </c>
      <c r="S38" s="264" t="n"/>
      <c r="T38" s="249" t="n"/>
      <c r="U38" s="249" t="n"/>
      <c r="V38" s="249" t="n"/>
      <c r="W38" s="249" t="n"/>
    </row>
    <row r="39" ht="18" customFormat="1" customHeight="1" s="264">
      <c r="B39" s="267" t="n"/>
      <c r="C39" s="324" t="inlineStr">
        <is>
          <t>항공운임비 실비(공통)</t>
        </is>
      </c>
      <c r="D39" s="322" t="n">
        <v>0</v>
      </c>
      <c r="E39" s="283" t="inlineStr">
        <is>
          <t>×</t>
        </is>
      </c>
      <c r="F39" s="322" t="n">
        <v>0</v>
      </c>
      <c r="G39" s="266" t="inlineStr">
        <is>
          <t>명</t>
        </is>
      </c>
      <c r="H39" s="283" t="inlineStr">
        <is>
          <t>×</t>
        </is>
      </c>
      <c r="I39" s="322" t="n">
        <v>0</v>
      </c>
      <c r="J39" s="266" t="inlineStr">
        <is>
          <t>회</t>
        </is>
      </c>
      <c r="L39" s="251" t="n"/>
      <c r="M39" s="251" t="n"/>
      <c r="N39" s="266" t="inlineStr">
        <is>
          <t>=</t>
        </is>
      </c>
      <c r="O39" s="269">
        <f>D39*F39*I39</f>
        <v/>
      </c>
      <c r="P39" s="231" t="n"/>
      <c r="Q39" s="274" t="inlineStr">
        <is>
          <t>실비 기재</t>
        </is>
      </c>
      <c r="R39" s="337" t="inlineStr">
        <is>
          <t>마스터 "국외여비등급" 입력</t>
        </is>
      </c>
    </row>
    <row r="40" ht="18" customFormat="1" customHeight="1" s="264">
      <c r="C40" s="324" t="inlineStr">
        <is>
          <t>숙박비 상한액(원장, 관리직)</t>
        </is>
      </c>
      <c r="D40" s="415">
        <f>VLOOKUP($R$40,마스터!$C$19:$F$34,3,FALSE)</f>
        <v/>
      </c>
      <c r="E40" s="283" t="inlineStr">
        <is>
          <t>×</t>
        </is>
      </c>
      <c r="F40" s="322" t="n">
        <v>0</v>
      </c>
      <c r="G40" s="266" t="inlineStr">
        <is>
          <t>명</t>
        </is>
      </c>
      <c r="H40" s="283" t="inlineStr">
        <is>
          <t>×</t>
        </is>
      </c>
      <c r="I40" s="322" t="n">
        <v>0</v>
      </c>
      <c r="J40" s="266" t="inlineStr">
        <is>
          <t>박</t>
        </is>
      </c>
      <c r="K40" s="283" t="inlineStr">
        <is>
          <t>×</t>
        </is>
      </c>
      <c r="L40" s="415">
        <f>O5</f>
        <v/>
      </c>
      <c r="M40" s="336" t="inlineStr">
        <is>
          <t>환율</t>
        </is>
      </c>
      <c r="N40" s="266" t="inlineStr">
        <is>
          <t>=</t>
        </is>
      </c>
      <c r="O40" s="269">
        <f>D40*F40*I40*L40</f>
        <v/>
      </c>
      <c r="P40" s="231" t="n"/>
      <c r="Q40" s="270" t="n"/>
      <c r="R40" s="322" t="n">
        <v>1</v>
      </c>
    </row>
    <row r="41" ht="18" customFormat="1" customHeight="1" s="264">
      <c r="C41" s="324" t="inlineStr">
        <is>
          <t>숙박비 상한액(그외 직원)</t>
        </is>
      </c>
      <c r="D41" s="415">
        <f>VLOOKUP($R$41,마스터!$C$19:$F$34,2,FALSE)</f>
        <v/>
      </c>
      <c r="E41" s="283" t="inlineStr">
        <is>
          <t>×</t>
        </is>
      </c>
      <c r="F41" s="322" t="n">
        <v>0</v>
      </c>
      <c r="G41" s="266" t="inlineStr">
        <is>
          <t>명</t>
        </is>
      </c>
      <c r="H41" s="283" t="inlineStr">
        <is>
          <t>×</t>
        </is>
      </c>
      <c r="I41" s="322" t="n">
        <v>0</v>
      </c>
      <c r="J41" s="266" t="inlineStr">
        <is>
          <t>박</t>
        </is>
      </c>
      <c r="K41" s="283" t="inlineStr">
        <is>
          <t>×</t>
        </is>
      </c>
      <c r="L41" s="415">
        <f>O5</f>
        <v/>
      </c>
      <c r="M41" s="336" t="inlineStr">
        <is>
          <t>환율</t>
        </is>
      </c>
      <c r="N41" s="266" t="inlineStr">
        <is>
          <t>=</t>
        </is>
      </c>
      <c r="O41" s="269">
        <f>D41*F41*I41*L41</f>
        <v/>
      </c>
      <c r="P41" s="231" t="n"/>
      <c r="Q41" s="270" t="n"/>
      <c r="R41" s="322" t="n">
        <v>8</v>
      </c>
    </row>
    <row r="42" ht="18" customFormat="1" customHeight="1" s="264">
      <c r="A42" s="264" t="n"/>
      <c r="B42" s="267" t="n"/>
      <c r="C42" s="324" t="inlineStr">
        <is>
          <t>일비 정액(원장, 관리직)</t>
        </is>
      </c>
      <c r="D42" s="415">
        <f>VLOOKUP($R$40,마스터!$C$19:$F$34,2,FALSE)</f>
        <v/>
      </c>
      <c r="E42" s="283" t="inlineStr">
        <is>
          <t>×</t>
        </is>
      </c>
      <c r="F42" s="322" t="n">
        <v>0</v>
      </c>
      <c r="G42" s="266" t="inlineStr">
        <is>
          <t>명</t>
        </is>
      </c>
      <c r="H42" s="283" t="inlineStr">
        <is>
          <t>×</t>
        </is>
      </c>
      <c r="I42" s="322" t="n">
        <v>0</v>
      </c>
      <c r="J42" s="266" t="inlineStr">
        <is>
          <t>일</t>
        </is>
      </c>
      <c r="K42" s="283" t="inlineStr">
        <is>
          <t>×</t>
        </is>
      </c>
      <c r="L42" s="415">
        <f>O5</f>
        <v/>
      </c>
      <c r="M42" s="336" t="inlineStr">
        <is>
          <t>환율</t>
        </is>
      </c>
      <c r="N42" s="266" t="inlineStr">
        <is>
          <t>=</t>
        </is>
      </c>
      <c r="O42" s="269">
        <f>D42*F42*I42*L42</f>
        <v/>
      </c>
      <c r="P42" s="231" t="n"/>
      <c r="Q42" s="270" t="inlineStr">
        <is>
          <t>마스터-국외 여비 등급 구분표 참고</t>
        </is>
      </c>
      <c r="S42" s="264" t="n"/>
      <c r="T42" s="264" t="n"/>
      <c r="U42" s="264" t="n"/>
      <c r="V42" s="264" t="n"/>
      <c r="W42" s="264" t="n"/>
    </row>
    <row r="43" ht="18" customFormat="1" customHeight="1" s="264">
      <c r="B43" s="267" t="n"/>
      <c r="C43" s="324" t="inlineStr">
        <is>
          <t>일비 정액(그외 직원)</t>
        </is>
      </c>
      <c r="D43" s="415">
        <f>VLOOKUP($R$41,마스터!$C$19:$F$34,2,FALSE)</f>
        <v/>
      </c>
      <c r="E43" s="283" t="inlineStr">
        <is>
          <t>×</t>
        </is>
      </c>
      <c r="F43" s="322" t="n">
        <v>0</v>
      </c>
      <c r="G43" s="266" t="inlineStr">
        <is>
          <t>명</t>
        </is>
      </c>
      <c r="H43" s="283" t="inlineStr">
        <is>
          <t>×</t>
        </is>
      </c>
      <c r="I43" s="322" t="n">
        <v>0</v>
      </c>
      <c r="J43" s="266" t="inlineStr">
        <is>
          <t>일</t>
        </is>
      </c>
      <c r="K43" s="283" t="inlineStr">
        <is>
          <t>×</t>
        </is>
      </c>
      <c r="L43" s="415">
        <f>O5</f>
        <v/>
      </c>
      <c r="M43" s="336" t="inlineStr">
        <is>
          <t>환율</t>
        </is>
      </c>
      <c r="N43" s="266" t="inlineStr">
        <is>
          <t>=</t>
        </is>
      </c>
      <c r="O43" s="269">
        <f>D43*F43*I43*L43</f>
        <v/>
      </c>
      <c r="P43" s="231" t="n"/>
      <c r="Q43" s="258" t="n"/>
    </row>
    <row r="44" ht="18" customFormat="1" customHeight="1" s="264">
      <c r="B44" s="267" t="n"/>
      <c r="C44" s="324" t="inlineStr">
        <is>
          <t>식비 정액(원장, 관리직)</t>
        </is>
      </c>
      <c r="D44" s="415">
        <f>VLOOKUP($R$40,마스터!$C$19:$F$34,4,FALSE)</f>
        <v/>
      </c>
      <c r="E44" s="283" t="inlineStr">
        <is>
          <t>×</t>
        </is>
      </c>
      <c r="F44" s="322" t="n">
        <v>0</v>
      </c>
      <c r="G44" s="266" t="inlineStr">
        <is>
          <t>명</t>
        </is>
      </c>
      <c r="H44" s="283" t="inlineStr">
        <is>
          <t>×</t>
        </is>
      </c>
      <c r="I44" s="322" t="n">
        <v>0</v>
      </c>
      <c r="J44" s="266" t="inlineStr">
        <is>
          <t>일</t>
        </is>
      </c>
      <c r="K44" s="283" t="inlineStr">
        <is>
          <t>×</t>
        </is>
      </c>
      <c r="L44" s="415">
        <f>O5</f>
        <v/>
      </c>
      <c r="M44" s="336" t="inlineStr">
        <is>
          <t>환율</t>
        </is>
      </c>
      <c r="N44" s="266" t="inlineStr">
        <is>
          <t>=</t>
        </is>
      </c>
      <c r="O44" s="269">
        <f>D44*F44*I44*L44</f>
        <v/>
      </c>
      <c r="P44" s="231" t="n"/>
      <c r="Q44" s="270" t="n"/>
    </row>
    <row r="45" ht="18" customFormat="1" customHeight="1" s="264">
      <c r="B45" s="267" t="n"/>
      <c r="C45" s="324" t="inlineStr">
        <is>
          <t>식비 정액(그외 직원)</t>
        </is>
      </c>
      <c r="D45" s="415">
        <f>VLOOKUP($R$41,마스터!$C$19:$F$34,2,FALSE)</f>
        <v/>
      </c>
      <c r="E45" s="283" t="inlineStr">
        <is>
          <t>×</t>
        </is>
      </c>
      <c r="F45" s="322" t="n">
        <v>0</v>
      </c>
      <c r="G45" s="266" t="inlineStr">
        <is>
          <t>명</t>
        </is>
      </c>
      <c r="H45" s="283" t="inlineStr">
        <is>
          <t>×</t>
        </is>
      </c>
      <c r="I45" s="322" t="n">
        <v>0</v>
      </c>
      <c r="J45" s="266" t="inlineStr">
        <is>
          <t>일</t>
        </is>
      </c>
      <c r="K45" s="283" t="inlineStr">
        <is>
          <t>×</t>
        </is>
      </c>
      <c r="L45" s="415">
        <f>O5</f>
        <v/>
      </c>
      <c r="M45" s="336" t="inlineStr">
        <is>
          <t>환율</t>
        </is>
      </c>
      <c r="N45" s="266" t="inlineStr">
        <is>
          <t>=</t>
        </is>
      </c>
      <c r="O45" s="269">
        <f>D45*F45*I45*L45</f>
        <v/>
      </c>
      <c r="P45" s="231" t="n"/>
      <c r="Q45" s="270" t="n"/>
    </row>
    <row r="46" ht="18" customFormat="1" customHeight="1" s="264">
      <c r="A46" s="249" t="n"/>
      <c r="B46" s="280" t="inlineStr">
        <is>
          <t>▶ 대상자 관련 비용</t>
        </is>
      </c>
      <c r="C46" s="281" t="n"/>
      <c r="D46" s="425" t="n"/>
      <c r="E46" s="231" t="n"/>
      <c r="F46" s="231" t="n"/>
      <c r="G46" s="231" t="n"/>
      <c r="H46" s="231" t="n"/>
      <c r="I46" s="231" t="n"/>
      <c r="J46" s="231" t="n"/>
      <c r="K46" s="253" t="n"/>
      <c r="L46" s="251" t="n"/>
      <c r="M46" s="251" t="n"/>
      <c r="N46" s="251" t="n"/>
      <c r="O46" s="432">
        <f>SUM(O47:O48)</f>
        <v/>
      </c>
      <c r="P46" s="424">
        <f>IFERROR(O46/$O$7,"-")</f>
        <v/>
      </c>
      <c r="Q46" s="249" t="n"/>
      <c r="R46" s="249" t="n"/>
      <c r="S46" s="249" t="n"/>
    </row>
    <row r="47" ht="18" customHeight="1" s="400">
      <c r="B47" s="262" t="n"/>
      <c r="C47" s="284" t="inlineStr">
        <is>
          <t>대상자 사례비</t>
        </is>
      </c>
      <c r="D47" s="322" t="n">
        <v>0</v>
      </c>
      <c r="E47" s="283" t="inlineStr">
        <is>
          <t>×</t>
        </is>
      </c>
      <c r="F47" s="322" t="n">
        <v>0</v>
      </c>
      <c r="G47" s="266" t="inlineStr">
        <is>
          <t>명</t>
        </is>
      </c>
      <c r="H47" s="283" t="inlineStr">
        <is>
          <t>×</t>
        </is>
      </c>
      <c r="I47" s="322" t="n">
        <v>0</v>
      </c>
      <c r="J47" s="283" t="inlineStr">
        <is>
          <t>회</t>
        </is>
      </c>
      <c r="K47" s="249" t="n"/>
      <c r="L47" s="251" t="n"/>
      <c r="M47" s="251" t="n"/>
      <c r="N47" s="266" t="inlineStr">
        <is>
          <t>=</t>
        </is>
      </c>
      <c r="O47" s="289">
        <f>D47*F47*I47</f>
        <v/>
      </c>
      <c r="P47" s="414" t="n"/>
    </row>
    <row r="48" ht="18" customHeight="1" s="400">
      <c r="B48" s="262" t="n"/>
      <c r="C48" s="284" t="inlineStr">
        <is>
          <t>대상자 검사진료비</t>
        </is>
      </c>
      <c r="D48" s="322" t="n">
        <v>0</v>
      </c>
      <c r="E48" s="283" t="inlineStr">
        <is>
          <t>×</t>
        </is>
      </c>
      <c r="F48" s="322" t="n">
        <v>0</v>
      </c>
      <c r="G48" s="266" t="inlineStr">
        <is>
          <t>명</t>
        </is>
      </c>
      <c r="H48" s="283" t="inlineStr">
        <is>
          <t>×</t>
        </is>
      </c>
      <c r="I48" s="322" t="n">
        <v>0</v>
      </c>
      <c r="J48" s="283" t="inlineStr">
        <is>
          <t>회</t>
        </is>
      </c>
      <c r="K48" s="249" t="n"/>
      <c r="L48" s="251" t="n"/>
      <c r="M48" s="251" t="n"/>
      <c r="N48" s="266" t="inlineStr">
        <is>
          <t>=</t>
        </is>
      </c>
      <c r="O48" s="289">
        <f>D48*F48*I48</f>
        <v/>
      </c>
      <c r="P48" s="414" t="n"/>
    </row>
    <row r="49" ht="18" customFormat="1" customHeight="1" s="264">
      <c r="A49" s="249" t="n"/>
      <c r="B49" s="280" t="inlineStr">
        <is>
          <t>▶ 수용비 및 수수료</t>
        </is>
      </c>
      <c r="C49" s="281" t="n"/>
      <c r="D49" s="425" t="n"/>
      <c r="E49" s="231" t="n"/>
      <c r="F49" s="231" t="n"/>
      <c r="G49" s="231" t="n"/>
      <c r="H49" s="231" t="n"/>
      <c r="I49" s="231" t="n"/>
      <c r="J49" s="231" t="n"/>
      <c r="K49" s="253" t="n"/>
      <c r="L49" s="251" t="n"/>
      <c r="M49" s="251" t="n"/>
      <c r="N49" s="251" t="n"/>
      <c r="O49" s="432">
        <f>SUM(O50:O53)</f>
        <v/>
      </c>
      <c r="P49" s="424">
        <f>IFERROR(O49/$O$7,"-")</f>
        <v/>
      </c>
      <c r="Q49" s="249" t="n"/>
      <c r="R49" s="249" t="n"/>
      <c r="S49" s="249" t="n"/>
    </row>
    <row r="50" ht="18" customFormat="1" customHeight="1" s="249">
      <c r="A50" s="249" t="n"/>
      <c r="B50" s="282" t="n"/>
      <c r="C50" s="284" t="inlineStr">
        <is>
          <t>결과보고서 제작</t>
        </is>
      </c>
      <c r="D50" s="322" t="n">
        <v>100</v>
      </c>
      <c r="E50" s="283" t="inlineStr">
        <is>
          <t>×</t>
        </is>
      </c>
      <c r="F50" s="322" t="n">
        <v>150</v>
      </c>
      <c r="G50" s="283" t="inlineStr">
        <is>
          <t>P</t>
        </is>
      </c>
      <c r="H50" s="266" t="inlineStr">
        <is>
          <t>×</t>
        </is>
      </c>
      <c r="I50" s="322" t="n">
        <v>10</v>
      </c>
      <c r="J50" s="283" t="inlineStr">
        <is>
          <t>부</t>
        </is>
      </c>
      <c r="L50" s="251" t="n"/>
      <c r="M50" s="251" t="n"/>
      <c r="N50" s="283" t="inlineStr">
        <is>
          <t>=</t>
        </is>
      </c>
      <c r="O50" s="405">
        <f>D50*F50*I50</f>
        <v/>
      </c>
      <c r="P50" s="283" t="n"/>
      <c r="Q50" s="249" t="n"/>
      <c r="R50" s="249" t="n"/>
      <c r="S50" s="249" t="n"/>
      <c r="T50" s="249" t="n"/>
      <c r="U50" s="249" t="n"/>
      <c r="V50" s="249" t="n"/>
      <c r="W50" s="249" t="n"/>
    </row>
    <row r="51" ht="18" customHeight="1" s="400">
      <c r="B51" s="284" t="n"/>
      <c r="C51" s="284" t="inlineStr">
        <is>
          <t>자료 인쇄 및 복사비 (발표·제출 자료)</t>
        </is>
      </c>
      <c r="D51" s="322" t="n">
        <v>100</v>
      </c>
      <c r="E51" s="283" t="inlineStr">
        <is>
          <t>×</t>
        </is>
      </c>
      <c r="F51" s="322" t="n">
        <v>500</v>
      </c>
      <c r="G51" s="283" t="inlineStr">
        <is>
          <t>P</t>
        </is>
      </c>
      <c r="H51" s="266" t="inlineStr">
        <is>
          <t>×</t>
        </is>
      </c>
      <c r="I51" s="322" t="n">
        <v>2</v>
      </c>
      <c r="J51" s="283" t="inlineStr">
        <is>
          <t>부</t>
        </is>
      </c>
      <c r="K51" s="249" t="n"/>
      <c r="L51" s="251" t="n"/>
      <c r="M51" s="251" t="n"/>
      <c r="N51" s="283" t="inlineStr">
        <is>
          <t>=</t>
        </is>
      </c>
      <c r="O51" s="405">
        <f>D51*F51*I51</f>
        <v/>
      </c>
      <c r="P51" s="283" t="n"/>
    </row>
    <row r="52" ht="18" customHeight="1" s="400">
      <c r="B52" s="284" t="n"/>
      <c r="C52" s="284" t="inlineStr">
        <is>
          <t>공공요금(우편,전화사용료 등)</t>
        </is>
      </c>
      <c r="D52" s="322" t="n">
        <v>0</v>
      </c>
      <c r="E52" s="283" t="inlineStr">
        <is>
          <t>×</t>
        </is>
      </c>
      <c r="F52" s="322" t="n">
        <v>0</v>
      </c>
      <c r="G52" s="283" t="inlineStr">
        <is>
          <t>회</t>
        </is>
      </c>
      <c r="H52" s="283" t="n"/>
      <c r="I52" s="283" t="n"/>
      <c r="J52" s="283" t="n"/>
      <c r="K52" s="249" t="n"/>
      <c r="L52" s="251" t="n"/>
      <c r="M52" s="251" t="n"/>
      <c r="N52" s="231" t="inlineStr">
        <is>
          <t>=</t>
        </is>
      </c>
      <c r="O52" s="405">
        <f>D52*F52</f>
        <v/>
      </c>
      <c r="P52" s="283" t="n"/>
    </row>
    <row r="53" ht="18" customHeight="1" s="400">
      <c r="B53" s="284" t="n"/>
      <c r="C53" s="284" t="inlineStr">
        <is>
          <t>기타 수수료 비용</t>
        </is>
      </c>
      <c r="D53" s="322" t="n">
        <v>0</v>
      </c>
      <c r="E53" s="283" t="inlineStr">
        <is>
          <t>×</t>
        </is>
      </c>
      <c r="F53" s="322" t="n">
        <v>0</v>
      </c>
      <c r="G53" s="283" t="inlineStr">
        <is>
          <t>회</t>
        </is>
      </c>
      <c r="H53" s="283" t="n"/>
      <c r="I53" s="283" t="n"/>
      <c r="J53" s="283" t="n"/>
      <c r="K53" s="249" t="n"/>
      <c r="L53" s="251" t="n"/>
      <c r="M53" s="251" t="n"/>
      <c r="N53" s="231" t="inlineStr">
        <is>
          <t>=</t>
        </is>
      </c>
      <c r="O53" s="405">
        <f>D53*F53</f>
        <v/>
      </c>
      <c r="P53" s="283" t="n"/>
    </row>
    <row r="54" ht="18" customHeight="1" s="400">
      <c r="A54" s="249" t="n"/>
      <c r="B54" s="280" t="inlineStr">
        <is>
          <t>▶ 논문 게재관련 비용(연구종료 후 1년까지 집행 가능)</t>
        </is>
      </c>
      <c r="C54" s="433" t="n"/>
      <c r="D54" s="434" t="n"/>
      <c r="E54" s="283" t="n"/>
      <c r="F54" s="283" t="n"/>
      <c r="G54" s="283" t="n"/>
      <c r="H54" s="283" t="n"/>
      <c r="I54" s="283" t="n"/>
      <c r="J54" s="283" t="n"/>
      <c r="K54" s="231" t="n"/>
      <c r="L54" s="251" t="n"/>
      <c r="M54" s="251" t="n"/>
      <c r="N54" s="251" t="n"/>
      <c r="O54" s="334">
        <f>SUM(O55:O56)</f>
        <v/>
      </c>
      <c r="P54" s="424">
        <f>IFERROR(O54/$O$7,"-")</f>
        <v/>
      </c>
      <c r="Q54" s="249" t="n"/>
      <c r="R54" s="249" t="n"/>
      <c r="S54" s="249" t="n"/>
      <c r="T54" s="249" t="n"/>
      <c r="U54" s="249" t="n"/>
      <c r="V54" s="249" t="n"/>
      <c r="W54" s="249" t="n"/>
    </row>
    <row r="55" ht="18" customFormat="1" customHeight="1" s="249">
      <c r="A55" s="249" t="n"/>
      <c r="B55" s="293" t="n"/>
      <c r="C55" s="284" t="inlineStr">
        <is>
          <t>논문게재료 (편당 상한 추정 — 1·2편 합병본 · 3편 원고, OA 포함)</t>
        </is>
      </c>
      <c r="D55" s="322" t="n">
        <v>2800000</v>
      </c>
      <c r="E55" s="283" t="inlineStr">
        <is>
          <t>×</t>
        </is>
      </c>
      <c r="F55" s="322" t="n">
        <v>2</v>
      </c>
      <c r="G55" s="283" t="inlineStr">
        <is>
          <t>회</t>
        </is>
      </c>
      <c r="H55" s="283" t="n"/>
      <c r="I55" s="283" t="n"/>
      <c r="J55" s="283" t="n"/>
      <c r="L55" s="251" t="n"/>
      <c r="M55" s="251" t="n"/>
      <c r="N55" s="231" t="inlineStr">
        <is>
          <t>=</t>
        </is>
      </c>
      <c r="O55" s="289">
        <f>D55*F55</f>
        <v/>
      </c>
      <c r="P55" s="290" t="n"/>
      <c r="Q55" s="249" t="n"/>
      <c r="R55" s="249" t="n"/>
      <c r="S55" s="249" t="n"/>
      <c r="T55" s="249" t="n"/>
      <c r="U55" s="249" t="n"/>
      <c r="V55" s="249" t="n"/>
      <c r="W55" s="249" t="n"/>
    </row>
    <row r="56" ht="18" customHeight="1" s="400">
      <c r="B56" s="293" t="n"/>
      <c r="C56" s="284" t="inlineStr">
        <is>
          <t>논문교정료 (영문 교정)</t>
        </is>
      </c>
      <c r="D56" s="322" t="n">
        <v>250000</v>
      </c>
      <c r="E56" s="283" t="inlineStr">
        <is>
          <t>×</t>
        </is>
      </c>
      <c r="F56" s="322" t="n">
        <v>2</v>
      </c>
      <c r="G56" s="283" t="inlineStr">
        <is>
          <t>회</t>
        </is>
      </c>
      <c r="H56" s="283" t="n"/>
      <c r="I56" s="283" t="n"/>
      <c r="J56" s="283" t="n"/>
      <c r="K56" s="249" t="n"/>
      <c r="L56" s="251" t="n"/>
      <c r="M56" s="251" t="n"/>
      <c r="N56" s="231" t="inlineStr">
        <is>
          <t>=</t>
        </is>
      </c>
      <c r="O56" s="289">
        <f>D56*F56</f>
        <v/>
      </c>
      <c r="P56" s="290" t="n"/>
    </row>
    <row r="57" ht="18" customHeight="1" s="400">
      <c r="A57" s="249" t="n"/>
      <c r="B57" s="280" t="inlineStr">
        <is>
          <t>▶ 기술정보활동비</t>
        </is>
      </c>
      <c r="C57" s="262" t="n"/>
      <c r="D57" s="435" t="n"/>
      <c r="E57" s="292" t="n"/>
      <c r="F57" s="292" t="n"/>
      <c r="G57" s="292" t="n"/>
      <c r="H57" s="292" t="n"/>
      <c r="I57" s="292" t="n"/>
      <c r="J57" s="292" t="n"/>
      <c r="K57" s="248" t="n"/>
      <c r="L57" s="251" t="n"/>
      <c r="M57" s="251" t="n"/>
      <c r="N57" s="251" t="n"/>
      <c r="O57" s="436">
        <f>SUM(O58:O62)</f>
        <v/>
      </c>
      <c r="P57" s="424">
        <f>IFERROR(O57/$O$7,"-")</f>
        <v/>
      </c>
      <c r="Q57" s="249" t="n"/>
      <c r="R57" s="249" t="n"/>
      <c r="S57" s="249" t="n"/>
      <c r="T57" s="249" t="n"/>
      <c r="U57" s="249" t="n"/>
      <c r="V57" s="249" t="n"/>
      <c r="W57" s="249" t="n"/>
    </row>
    <row r="58" ht="18" customFormat="1" customHeight="1" s="249">
      <c r="A58" s="249" t="n"/>
      <c r="B58" s="293" t="n"/>
      <c r="C58" s="284" t="inlineStr">
        <is>
          <t>전문가활용비 — 통계·방법 자문(등장회귀·부분식별·불확실 구간)</t>
        </is>
      </c>
      <c r="D58" s="322" t="n">
        <v>200000</v>
      </c>
      <c r="E58" s="266" t="inlineStr">
        <is>
          <t>×</t>
        </is>
      </c>
      <c r="F58" s="322" t="n">
        <v>1</v>
      </c>
      <c r="G58" s="266" t="inlineStr">
        <is>
          <t>명</t>
        </is>
      </c>
      <c r="H58" s="266" t="inlineStr">
        <is>
          <t>×</t>
        </is>
      </c>
      <c r="I58" s="322" t="n">
        <v>2</v>
      </c>
      <c r="J58" s="266" t="inlineStr">
        <is>
          <t>회</t>
        </is>
      </c>
      <c r="L58" s="251" t="n"/>
      <c r="M58" s="251" t="n"/>
      <c r="N58" s="266" t="inlineStr">
        <is>
          <t>=</t>
        </is>
      </c>
      <c r="O58" s="437">
        <f>D58*F58*I58</f>
        <v/>
      </c>
      <c r="P58" s="266" t="n"/>
      <c r="Q58" s="295" t="inlineStr">
        <is>
          <t>전문가활용규칙 준용</t>
        </is>
      </c>
      <c r="R58" s="249" t="n"/>
      <c r="S58" s="249" t="n"/>
      <c r="T58" s="249" t="n"/>
      <c r="U58" s="249" t="n"/>
      <c r="V58" s="249" t="n"/>
      <c r="W58" s="249" t="n"/>
    </row>
    <row r="59" ht="18" customHeight="1" s="400">
      <c r="B59" s="293" t="n"/>
      <c r="C59" s="284" t="inlineStr">
        <is>
          <t>학회 참가·등록비 (국내 학회 중간·최종 발표)</t>
        </is>
      </c>
      <c r="D59" s="322" t="n">
        <v>200000</v>
      </c>
      <c r="E59" s="266" t="inlineStr">
        <is>
          <t>×</t>
        </is>
      </c>
      <c r="F59" s="323" t="n">
        <v>2</v>
      </c>
      <c r="G59" s="266" t="inlineStr">
        <is>
          <t>명</t>
        </is>
      </c>
      <c r="H59" s="266" t="inlineStr">
        <is>
          <t>×</t>
        </is>
      </c>
      <c r="I59" s="322" t="n">
        <v>2</v>
      </c>
      <c r="J59" s="266" t="inlineStr">
        <is>
          <t>회</t>
        </is>
      </c>
      <c r="K59" s="249" t="n"/>
      <c r="L59" s="251" t="n"/>
      <c r="M59" s="251" t="n"/>
      <c r="N59" s="266" t="inlineStr">
        <is>
          <t>=</t>
        </is>
      </c>
      <c r="O59" s="437">
        <f>D59*F59*I59</f>
        <v/>
      </c>
      <c r="P59" s="266" t="n"/>
    </row>
    <row r="60" ht="18" customHeight="1" s="400">
      <c r="B60" s="293" t="n"/>
      <c r="C60" s="284" t="inlineStr">
        <is>
          <t>문헌구입비 (현실 요건 축 문헌)</t>
        </is>
      </c>
      <c r="D60" s="322" t="n">
        <v>50000</v>
      </c>
      <c r="E60" s="266" t="inlineStr">
        <is>
          <t>×</t>
        </is>
      </c>
      <c r="F60" s="322" t="n">
        <v>10</v>
      </c>
      <c r="G60" s="266" t="inlineStr">
        <is>
          <t>권</t>
        </is>
      </c>
      <c r="H60" s="266" t="inlineStr">
        <is>
          <t>×</t>
        </is>
      </c>
      <c r="I60" s="322" t="n">
        <v>1</v>
      </c>
      <c r="J60" s="266" t="inlineStr">
        <is>
          <t>회</t>
        </is>
      </c>
      <c r="K60" s="249" t="n"/>
      <c r="L60" s="251" t="n"/>
      <c r="M60" s="251" t="n"/>
      <c r="N60" s="266" t="inlineStr">
        <is>
          <t>=</t>
        </is>
      </c>
      <c r="O60" s="437">
        <f>D60*F60*I60</f>
        <v/>
      </c>
      <c r="P60" s="266" t="n"/>
    </row>
    <row r="61" ht="18" customHeight="1" s="400">
      <c r="B61" s="293" t="n"/>
      <c r="C61" s="284" t="inlineStr">
        <is>
          <t>세미나 개최비</t>
        </is>
      </c>
      <c r="D61" s="322" t="n">
        <v>0</v>
      </c>
      <c r="E61" s="266" t="inlineStr">
        <is>
          <t>×</t>
        </is>
      </c>
      <c r="F61" s="322" t="n">
        <v>0</v>
      </c>
      <c r="G61" s="266" t="inlineStr">
        <is>
          <t>명</t>
        </is>
      </c>
      <c r="H61" s="266" t="inlineStr">
        <is>
          <t>×</t>
        </is>
      </c>
      <c r="I61" s="322" t="n">
        <v>0</v>
      </c>
      <c r="J61" s="266" t="inlineStr">
        <is>
          <t>회</t>
        </is>
      </c>
      <c r="K61" s="249" t="n"/>
      <c r="L61" s="251" t="n"/>
      <c r="M61" s="251" t="n"/>
      <c r="N61" s="266" t="inlineStr">
        <is>
          <t>=</t>
        </is>
      </c>
      <c r="O61" s="437">
        <f>D61*F61*I61</f>
        <v/>
      </c>
      <c r="P61" s="266" t="n"/>
    </row>
    <row r="62" ht="18" customHeight="1" s="400">
      <c r="B62" s="293" t="n"/>
      <c r="C62" s="284" t="inlineStr">
        <is>
          <t>원고의뢰 등</t>
        </is>
      </c>
      <c r="D62" s="322" t="n">
        <v>0</v>
      </c>
      <c r="E62" s="266" t="inlineStr">
        <is>
          <t>×</t>
        </is>
      </c>
      <c r="F62" s="322" t="n">
        <v>0</v>
      </c>
      <c r="G62" s="266" t="inlineStr">
        <is>
          <t>명</t>
        </is>
      </c>
      <c r="H62" s="266" t="inlineStr">
        <is>
          <t>×</t>
        </is>
      </c>
      <c r="I62" s="322" t="n">
        <v>0</v>
      </c>
      <c r="J62" s="266" t="inlineStr">
        <is>
          <t>회</t>
        </is>
      </c>
      <c r="K62" s="249" t="n"/>
      <c r="L62" s="251" t="n"/>
      <c r="M62" s="251" t="n"/>
      <c r="N62" s="266" t="inlineStr">
        <is>
          <t>=</t>
        </is>
      </c>
      <c r="O62" s="437">
        <f>D62*F62*I62</f>
        <v/>
      </c>
      <c r="P62" s="266" t="n"/>
      <c r="Q62" s="295" t="inlineStr">
        <is>
          <t>전문가활용규칙 준용</t>
        </is>
      </c>
    </row>
    <row r="63" ht="18" customHeight="1" s="400">
      <c r="A63" s="249" t="n"/>
      <c r="B63" s="280" t="inlineStr">
        <is>
          <t>▶ 임차료</t>
        </is>
      </c>
      <c r="C63" s="281" t="n"/>
      <c r="D63" s="425" t="n"/>
      <c r="E63" s="231" t="n"/>
      <c r="F63" s="231" t="n"/>
      <c r="G63" s="231" t="n"/>
      <c r="H63" s="231" t="n"/>
      <c r="I63" s="231" t="n"/>
      <c r="J63" s="231" t="n"/>
      <c r="K63" s="253" t="n"/>
      <c r="L63" s="251" t="n"/>
      <c r="M63" s="251" t="n"/>
      <c r="N63" s="251" t="n"/>
      <c r="O63" s="432">
        <f>SUM(O64:O68)</f>
        <v/>
      </c>
      <c r="P63" s="424">
        <f>IFERROR(O63/$O$7,"-")</f>
        <v/>
      </c>
      <c r="Q63" s="249" t="n"/>
      <c r="R63" s="249" t="n"/>
      <c r="S63" s="249" t="n"/>
      <c r="T63" s="249" t="n"/>
      <c r="U63" s="249" t="n"/>
      <c r="V63" s="249" t="n"/>
      <c r="W63" s="249" t="n"/>
    </row>
    <row r="64" ht="18" customFormat="1" customHeight="1" s="249">
      <c r="A64" s="249" t="n"/>
      <c r="B64" s="281" t="n"/>
      <c r="C64" s="319" t="inlineStr">
        <is>
          <t>(예) 00장비 임대</t>
        </is>
      </c>
      <c r="D64" s="322" t="n">
        <v>0</v>
      </c>
      <c r="E64" s="283" t="inlineStr">
        <is>
          <t>×</t>
        </is>
      </c>
      <c r="F64" s="322" t="n">
        <v>0</v>
      </c>
      <c r="G64" s="283" t="inlineStr">
        <is>
          <t>개</t>
        </is>
      </c>
      <c r="H64" s="266" t="inlineStr">
        <is>
          <t>×</t>
        </is>
      </c>
      <c r="I64" s="322" t="n">
        <v>0</v>
      </c>
      <c r="J64" s="283" t="inlineStr">
        <is>
          <t>월</t>
        </is>
      </c>
      <c r="L64" s="251" t="n"/>
      <c r="M64" s="251" t="n"/>
      <c r="N64" s="283" t="inlineStr">
        <is>
          <t>=</t>
        </is>
      </c>
      <c r="O64" s="405">
        <f>D64*F64*I64</f>
        <v/>
      </c>
      <c r="P64" s="292" t="n"/>
      <c r="Q64" s="274" t="inlineStr">
        <is>
          <t>시설,장비,S/W 명 기재</t>
        </is>
      </c>
      <c r="R64" s="249" t="n"/>
      <c r="S64" s="249" t="n"/>
      <c r="T64" s="249" t="n"/>
      <c r="U64" s="249" t="n"/>
      <c r="V64" s="249" t="n"/>
      <c r="W64" s="249" t="n"/>
    </row>
    <row r="65" ht="18" customFormat="1" customHeight="1" s="249">
      <c r="A65" s="249" t="n"/>
      <c r="B65" s="281" t="n"/>
      <c r="C65" s="319" t="inlineStr">
        <is>
          <t xml:space="preserve">(예) ChatGPT 구독 </t>
        </is>
      </c>
      <c r="D65" s="322" t="n">
        <v>0</v>
      </c>
      <c r="E65" s="283" t="inlineStr">
        <is>
          <t>×</t>
        </is>
      </c>
      <c r="F65" s="322" t="n">
        <v>0</v>
      </c>
      <c r="G65" s="283" t="inlineStr">
        <is>
          <t>개</t>
        </is>
      </c>
      <c r="H65" s="266" t="inlineStr">
        <is>
          <t>×</t>
        </is>
      </c>
      <c r="I65" s="322" t="n">
        <v>0</v>
      </c>
      <c r="J65" s="283" t="inlineStr">
        <is>
          <t>월</t>
        </is>
      </c>
      <c r="L65" s="251" t="n"/>
      <c r="M65" s="251" t="n"/>
      <c r="N65" s="283" t="inlineStr">
        <is>
          <t>=</t>
        </is>
      </c>
      <c r="O65" s="405">
        <f>D65*F65*I65</f>
        <v/>
      </c>
      <c r="P65" s="292" t="n"/>
      <c r="Q65" s="274" t="inlineStr">
        <is>
          <t>AI명 기재</t>
        </is>
      </c>
      <c r="R65" s="249" t="n"/>
      <c r="S65" s="249" t="n"/>
      <c r="T65" s="249" t="n"/>
      <c r="U65" s="249" t="n"/>
      <c r="V65" s="249" t="n"/>
      <c r="W65" s="249" t="n"/>
    </row>
    <row r="66" ht="18" customHeight="1" s="400">
      <c r="B66" s="281" t="n"/>
      <c r="C66" s="245" t="inlineStr">
        <is>
          <t>(예) 00사육실 사용료</t>
        </is>
      </c>
      <c r="D66" s="322" t="n">
        <v>0</v>
      </c>
      <c r="E66" s="283" t="inlineStr">
        <is>
          <t>×</t>
        </is>
      </c>
      <c r="F66" s="322" t="n">
        <v>0</v>
      </c>
      <c r="G66" s="283" t="inlineStr">
        <is>
          <t>개</t>
        </is>
      </c>
      <c r="H66" s="266" t="inlineStr">
        <is>
          <t>×</t>
        </is>
      </c>
      <c r="I66" s="322" t="n">
        <v>0</v>
      </c>
      <c r="J66" s="283" t="inlineStr">
        <is>
          <t>월</t>
        </is>
      </c>
      <c r="K66" s="249" t="n"/>
      <c r="L66" s="251" t="n"/>
      <c r="M66" s="251" t="n"/>
      <c r="N66" s="283" t="inlineStr">
        <is>
          <t>=</t>
        </is>
      </c>
      <c r="O66" s="405">
        <f>D66*F66*I66</f>
        <v/>
      </c>
      <c r="P66" s="292" t="n"/>
      <c r="Q66" s="274" t="inlineStr">
        <is>
          <t>시설,장비,S/W 명 기재</t>
        </is>
      </c>
    </row>
    <row r="67" ht="18" customHeight="1" s="400">
      <c r="B67" s="281" t="n"/>
      <c r="C67" s="245" t="inlineStr">
        <is>
          <t>(예) 업무폰 임대료</t>
        </is>
      </c>
      <c r="D67" s="322" t="n">
        <v>0</v>
      </c>
      <c r="E67" s="266" t="inlineStr">
        <is>
          <t>×</t>
        </is>
      </c>
      <c r="F67" s="322" t="n">
        <v>0</v>
      </c>
      <c r="G67" s="283" t="inlineStr">
        <is>
          <t>개</t>
        </is>
      </c>
      <c r="H67" s="266" t="inlineStr">
        <is>
          <t>×</t>
        </is>
      </c>
      <c r="I67" s="322" t="n">
        <v>0</v>
      </c>
      <c r="J67" s="283" t="inlineStr">
        <is>
          <t>월</t>
        </is>
      </c>
      <c r="K67" s="249" t="n"/>
      <c r="L67" s="251" t="n"/>
      <c r="M67" s="251" t="n"/>
      <c r="N67" s="283" t="inlineStr">
        <is>
          <t>=</t>
        </is>
      </c>
      <c r="O67" s="405">
        <f>D67*F67*I67</f>
        <v/>
      </c>
      <c r="P67" s="292" t="n"/>
      <c r="Q67" s="274" t="inlineStr">
        <is>
          <t>PC, 복합기 등 물품명 기재</t>
        </is>
      </c>
    </row>
    <row r="68" ht="18" customHeight="1" s="400">
      <c r="B68" s="281" t="n"/>
      <c r="C68" s="284" t="inlineStr">
        <is>
          <t>회의장소 등 대관료</t>
        </is>
      </c>
      <c r="D68" s="322" t="n">
        <v>0</v>
      </c>
      <c r="E68" s="283" t="inlineStr">
        <is>
          <t>×</t>
        </is>
      </c>
      <c r="F68" s="322" t="n">
        <v>0</v>
      </c>
      <c r="G68" s="283" t="inlineStr">
        <is>
          <t>개</t>
        </is>
      </c>
      <c r="H68" s="266" t="inlineStr">
        <is>
          <t>×</t>
        </is>
      </c>
      <c r="I68" s="322" t="n">
        <v>0</v>
      </c>
      <c r="J68" s="283" t="inlineStr">
        <is>
          <t>회</t>
        </is>
      </c>
      <c r="K68" s="249" t="n"/>
      <c r="L68" s="251" t="n"/>
      <c r="M68" s="251" t="n"/>
      <c r="N68" s="283" t="inlineStr">
        <is>
          <t>=</t>
        </is>
      </c>
      <c r="O68" s="405">
        <f>D68*F68*I68</f>
        <v/>
      </c>
      <c r="P68" s="292" t="n"/>
      <c r="Q68" s="274" t="n"/>
    </row>
    <row r="69" ht="18" customHeight="1" s="400">
      <c r="A69" s="249" t="n"/>
      <c r="B69" s="280" t="inlineStr">
        <is>
          <t>▶ 연구과제 운영경비</t>
        </is>
      </c>
      <c r="C69" s="309" t="n"/>
      <c r="D69" s="438" t="n"/>
      <c r="E69" s="266" t="n"/>
      <c r="F69" s="266" t="n"/>
      <c r="G69" s="266" t="n"/>
      <c r="H69" s="266" t="n"/>
      <c r="I69" s="266" t="n"/>
      <c r="J69" s="266" t="n"/>
      <c r="K69" s="266" t="n"/>
      <c r="L69" s="251" t="n"/>
      <c r="M69" s="251" t="n"/>
      <c r="N69" s="251" t="n"/>
      <c r="O69" s="432">
        <f>SUM(O70:O71)</f>
        <v/>
      </c>
      <c r="P69" s="424">
        <f>IFERROR(O69/$O$7,"-")</f>
        <v/>
      </c>
      <c r="Q69" s="249" t="n"/>
      <c r="R69" s="249" t="n"/>
      <c r="S69" s="249" t="n"/>
      <c r="T69" s="249" t="n"/>
      <c r="U69" s="249" t="n"/>
      <c r="V69" s="249" t="n"/>
      <c r="W69" s="249" t="n"/>
    </row>
    <row r="70" ht="18" customFormat="1" customHeight="1" s="249">
      <c r="A70" s="249" t="n"/>
      <c r="B70" s="298" t="n"/>
      <c r="C70" s="415" t="inlineStr">
        <is>
          <t>회의비</t>
        </is>
      </c>
      <c r="D70" s="322" t="n">
        <v>0</v>
      </c>
      <c r="E70" s="283" t="inlineStr">
        <is>
          <t>×</t>
        </is>
      </c>
      <c r="F70" s="322" t="n">
        <v>0</v>
      </c>
      <c r="G70" s="266" t="inlineStr">
        <is>
          <t>명</t>
        </is>
      </c>
      <c r="H70" s="266" t="inlineStr">
        <is>
          <t>×</t>
        </is>
      </c>
      <c r="I70" s="322" t="n">
        <v>2</v>
      </c>
      <c r="J70" s="266" t="inlineStr">
        <is>
          <t>회</t>
        </is>
      </c>
      <c r="L70" s="251" t="n"/>
      <c r="M70" s="251" t="n"/>
      <c r="N70" s="231" t="inlineStr">
        <is>
          <t>=</t>
        </is>
      </c>
      <c r="O70" s="289">
        <f>D70*F70*I70</f>
        <v/>
      </c>
      <c r="P70" s="290" t="n"/>
      <c r="Q70" s="249" t="n"/>
      <c r="R70" s="249" t="n"/>
      <c r="S70" s="249" t="n"/>
      <c r="T70" s="249" t="n"/>
      <c r="U70" s="249" t="n"/>
      <c r="V70" s="249" t="n"/>
      <c r="W70" s="249" t="n"/>
    </row>
    <row r="71" ht="18" customHeight="1" s="400">
      <c r="B71" s="293" t="inlineStr">
        <is>
          <t xml:space="preserve">  </t>
        </is>
      </c>
      <c r="C71" s="415" t="inlineStr">
        <is>
          <t>사무용품비 (연구 소모품·문구)</t>
        </is>
      </c>
      <c r="D71" s="322" t="n">
        <v>183962</v>
      </c>
      <c r="E71" s="283" t="inlineStr">
        <is>
          <t>×</t>
        </is>
      </c>
      <c r="F71" s="322" t="n">
        <v>1</v>
      </c>
      <c r="G71" s="283" t="inlineStr">
        <is>
          <t>회</t>
        </is>
      </c>
      <c r="H71" s="283" t="n"/>
      <c r="I71" s="283" t="n"/>
      <c r="J71" s="283" t="n"/>
      <c r="K71" s="249" t="n"/>
      <c r="L71" s="251" t="n"/>
      <c r="M71" s="251" t="n"/>
      <c r="N71" s="231" t="inlineStr">
        <is>
          <t>=</t>
        </is>
      </c>
      <c r="O71" s="289">
        <f>D71*F71</f>
        <v/>
      </c>
      <c r="P71" s="290" t="n"/>
    </row>
    <row r="72" ht="18" customHeight="1" s="400">
      <c r="B72" s="393" t="inlineStr">
        <is>
          <t>▶</t>
        </is>
      </c>
      <c r="C72" s="439" t="inlineStr">
        <is>
          <t>외부 DB 사용료</t>
        </is>
      </c>
      <c r="D72" s="322" t="n"/>
      <c r="E72" s="283" t="n"/>
      <c r="F72" s="322" t="n"/>
      <c r="G72" s="283" t="n"/>
      <c r="H72" s="283" t="n"/>
      <c r="I72" s="283" t="n"/>
      <c r="J72" s="283" t="n"/>
      <c r="K72" s="249" t="n"/>
      <c r="L72" s="251" t="n"/>
      <c r="M72" s="251" t="n"/>
      <c r="N72" s="231" t="n"/>
      <c r="O72" s="289" t="n"/>
      <c r="P72" s="290" t="n"/>
    </row>
    <row r="73" ht="18" customHeight="1" s="400">
      <c r="B73" s="293" t="n"/>
      <c r="C73" s="415" t="inlineStr">
        <is>
          <t>외부 DB 사용료</t>
        </is>
      </c>
      <c r="D73" s="322" t="n">
        <v>0</v>
      </c>
      <c r="E73" s="283" t="inlineStr">
        <is>
          <t>×</t>
        </is>
      </c>
      <c r="F73" s="322" t="n">
        <v>0</v>
      </c>
      <c r="G73" s="283" t="inlineStr">
        <is>
          <t>회</t>
        </is>
      </c>
      <c r="H73" s="283" t="n"/>
      <c r="I73" s="283" t="n"/>
      <c r="J73" s="283" t="n"/>
      <c r="K73" s="249" t="n"/>
      <c r="L73" s="251" t="n"/>
      <c r="M73" s="251" t="n"/>
      <c r="N73" s="231" t="inlineStr">
        <is>
          <t>=</t>
        </is>
      </c>
      <c r="O73" s="289">
        <f>D73*F73</f>
        <v/>
      </c>
      <c r="P73" s="290" t="n"/>
    </row>
    <row r="74" ht="18" customHeight="1" s="400">
      <c r="B74" s="293" t="n"/>
      <c r="C74" s="433" t="n"/>
      <c r="D74" s="300" t="n"/>
      <c r="E74" s="283" t="n"/>
      <c r="F74" s="283" t="n"/>
      <c r="G74" s="324" t="n"/>
      <c r="H74" s="324" t="n"/>
      <c r="I74" s="283" t="n"/>
      <c r="J74" s="325" t="n"/>
      <c r="K74" s="231" t="n"/>
      <c r="L74" s="251" t="n"/>
      <c r="M74" s="251" t="n"/>
      <c r="N74" s="251" t="n"/>
      <c r="O74" s="289" t="n"/>
      <c r="P74" s="290" t="n"/>
    </row>
    <row r="75" ht="18" customHeight="1" s="400">
      <c r="A75" s="264" t="n"/>
      <c r="B75" s="363" t="inlineStr">
        <is>
          <t>5. 위탁연구개발비 (직접비의 50% 이내)</t>
        </is>
      </c>
      <c r="C75" s="411" t="n"/>
      <c r="D75" s="411" t="n"/>
      <c r="E75" s="411" t="n"/>
      <c r="F75" s="411" t="n"/>
      <c r="G75" s="411" t="n"/>
      <c r="H75" s="411" t="n"/>
      <c r="I75" s="411" t="n"/>
      <c r="J75" s="411" t="n"/>
      <c r="K75" s="411" t="n"/>
      <c r="L75" s="411" t="n"/>
      <c r="M75" s="411" t="n"/>
      <c r="N75" s="411" t="n"/>
      <c r="O75" s="219" t="inlineStr">
        <is>
          <t>금액</t>
        </is>
      </c>
      <c r="P75" s="219" t="inlineStr">
        <is>
          <t>구성비</t>
        </is>
      </c>
      <c r="Q75" s="301" t="inlineStr">
        <is>
          <t>직접비 대비 위탁연구개발비 비율</t>
        </is>
      </c>
      <c r="R75" s="264" t="n"/>
      <c r="S75" s="264" t="n"/>
      <c r="T75" s="264" t="n"/>
      <c r="U75" s="264" t="n"/>
      <c r="V75" s="264" t="n"/>
      <c r="W75" s="264" t="n"/>
    </row>
    <row r="76" ht="18" customFormat="1" customHeight="1" s="264">
      <c r="B76" s="366" t="inlineStr">
        <is>
          <t>○ 위탁연구개발비 합계</t>
        </is>
      </c>
      <c r="C76" s="421" t="n"/>
      <c r="D76" s="251" t="n"/>
      <c r="E76" s="251" t="n"/>
      <c r="F76" s="251" t="n"/>
      <c r="G76" s="251" t="n"/>
      <c r="H76" s="251" t="n"/>
      <c r="I76" s="251" t="n"/>
      <c r="J76" s="251" t="n"/>
      <c r="K76" s="251" t="n"/>
      <c r="L76" s="251" t="n"/>
      <c r="M76" s="251" t="n"/>
      <c r="N76" s="251" t="n"/>
      <c r="O76" s="330">
        <f>SUM(O77:O81)</f>
        <v/>
      </c>
      <c r="P76" s="328">
        <f>IFERROR(O76/$O$7,"-")</f>
        <v/>
      </c>
      <c r="Q76" s="270" t="inlineStr">
        <is>
          <t>붉은색표시-기준초과 수정필요</t>
        </is>
      </c>
    </row>
    <row r="77" ht="18" customFormat="1" customHeight="1" s="264">
      <c r="B77" s="326" t="n"/>
      <c r="C77" s="319" t="inlineStr">
        <is>
          <t>인건비</t>
        </is>
      </c>
      <c r="D77" s="440" t="n">
        <v>0</v>
      </c>
      <c r="E77" s="283" t="inlineStr">
        <is>
          <t>×</t>
        </is>
      </c>
      <c r="F77" s="322" t="n">
        <v>1</v>
      </c>
      <c r="G77" s="322" t="inlineStr">
        <is>
          <t>명</t>
        </is>
      </c>
      <c r="H77" s="283" t="inlineStr">
        <is>
          <t>×</t>
        </is>
      </c>
      <c r="I77" s="322" t="n">
        <v>1</v>
      </c>
      <c r="J77" s="322" t="inlineStr">
        <is>
          <t>월</t>
        </is>
      </c>
      <c r="K77" s="251" t="n"/>
      <c r="L77" s="251" t="n"/>
      <c r="M77" s="251" t="n"/>
      <c r="N77" s="251" t="n"/>
      <c r="O77" s="269">
        <f>D77*F77*I77</f>
        <v/>
      </c>
      <c r="P77" s="424" t="n"/>
      <c r="Q77" s="261" t="inlineStr">
        <is>
          <t>계획서 및 연구비 산출내역서 별도 작성</t>
        </is>
      </c>
    </row>
    <row r="78" ht="18" customFormat="1" customHeight="1" s="264">
      <c r="B78" s="326" t="n"/>
      <c r="C78" s="319" t="inlineStr">
        <is>
          <t>연구시설장비비</t>
        </is>
      </c>
      <c r="D78" s="440" t="n">
        <v>0</v>
      </c>
      <c r="E78" s="283" t="inlineStr">
        <is>
          <t>×</t>
        </is>
      </c>
      <c r="F78" s="322" t="n">
        <v>1</v>
      </c>
      <c r="G78" s="322" t="inlineStr">
        <is>
          <t>명</t>
        </is>
      </c>
      <c r="H78" s="283" t="inlineStr">
        <is>
          <t>×</t>
        </is>
      </c>
      <c r="I78" s="322" t="n">
        <v>1</v>
      </c>
      <c r="J78" s="322" t="inlineStr">
        <is>
          <t>월</t>
        </is>
      </c>
      <c r="K78" s="251" t="n"/>
      <c r="L78" s="251" t="n"/>
      <c r="M78" s="251" t="n"/>
      <c r="N78" s="251" t="n"/>
      <c r="O78" s="269">
        <f>D78*F78*I78</f>
        <v/>
      </c>
      <c r="P78" s="424" t="n"/>
      <c r="Q78" s="261" t="inlineStr">
        <is>
          <t>계획서 및 연구비 산출내역서 별도 작성</t>
        </is>
      </c>
    </row>
    <row r="79" ht="18" customFormat="1" customHeight="1" s="264">
      <c r="B79" s="326" t="n"/>
      <c r="C79" s="319" t="inlineStr">
        <is>
          <t>연구재료비</t>
        </is>
      </c>
      <c r="D79" s="440" t="n">
        <v>0</v>
      </c>
      <c r="E79" s="283" t="inlineStr">
        <is>
          <t>×</t>
        </is>
      </c>
      <c r="F79" s="322" t="n">
        <v>1</v>
      </c>
      <c r="G79" s="322" t="inlineStr">
        <is>
          <t>명</t>
        </is>
      </c>
      <c r="H79" s="283" t="inlineStr">
        <is>
          <t>×</t>
        </is>
      </c>
      <c r="I79" s="322" t="n">
        <v>1</v>
      </c>
      <c r="J79" s="322" t="inlineStr">
        <is>
          <t>월</t>
        </is>
      </c>
      <c r="K79" s="251" t="n"/>
      <c r="L79" s="251" t="n"/>
      <c r="M79" s="251" t="n"/>
      <c r="N79" s="251" t="n"/>
      <c r="O79" s="269">
        <f>D79*F79*I79</f>
        <v/>
      </c>
      <c r="P79" s="424" t="n"/>
      <c r="Q79" s="261" t="inlineStr">
        <is>
          <t>계획서 및 연구비 산출내역서 별도 작성</t>
        </is>
      </c>
    </row>
    <row r="80" ht="18" customFormat="1" customHeight="1" s="264">
      <c r="B80" s="326" t="n"/>
      <c r="C80" s="319" t="inlineStr">
        <is>
          <t>연구활동비</t>
        </is>
      </c>
      <c r="D80" s="440" t="n">
        <v>0</v>
      </c>
      <c r="E80" s="283" t="inlineStr">
        <is>
          <t>×</t>
        </is>
      </c>
      <c r="F80" s="322" t="n">
        <v>1</v>
      </c>
      <c r="G80" s="322" t="inlineStr">
        <is>
          <t>개</t>
        </is>
      </c>
      <c r="H80" s="283" t="inlineStr">
        <is>
          <t>×</t>
        </is>
      </c>
      <c r="I80" s="322" t="n">
        <v>1</v>
      </c>
      <c r="J80" s="322" t="inlineStr">
        <is>
          <t>회</t>
        </is>
      </c>
      <c r="K80" s="231" t="n"/>
      <c r="L80" s="251" t="n"/>
      <c r="M80" s="251" t="n"/>
      <c r="N80" s="251" t="n"/>
      <c r="O80" s="289">
        <f>D80*F80*I80</f>
        <v/>
      </c>
      <c r="P80" s="424" t="n"/>
      <c r="Q80" s="261" t="inlineStr">
        <is>
          <t>계획서 및 연구비 산출내역서 별도 작성</t>
        </is>
      </c>
    </row>
    <row r="81" ht="18" customFormat="1" customHeight="1" s="264">
      <c r="B81" s="326" t="n"/>
      <c r="C81" s="319" t="inlineStr">
        <is>
          <t>간접비(일반관리비)</t>
        </is>
      </c>
      <c r="D81" s="440" t="n">
        <v>0</v>
      </c>
      <c r="E81" s="283" t="inlineStr">
        <is>
          <t>×</t>
        </is>
      </c>
      <c r="F81" s="322" t="n">
        <v>1</v>
      </c>
      <c r="G81" s="322" t="inlineStr">
        <is>
          <t>개</t>
        </is>
      </c>
      <c r="H81" s="283" t="inlineStr">
        <is>
          <t>×</t>
        </is>
      </c>
      <c r="I81" s="322" t="n">
        <v>1</v>
      </c>
      <c r="J81" s="322" t="inlineStr">
        <is>
          <t>회</t>
        </is>
      </c>
      <c r="K81" s="231" t="n"/>
      <c r="L81" s="251" t="n"/>
      <c r="M81" s="251" t="n"/>
      <c r="N81" s="251" t="n"/>
      <c r="O81" s="289">
        <f>D81*F81*I81</f>
        <v/>
      </c>
      <c r="P81" s="424" t="n"/>
      <c r="Q81" s="261" t="inlineStr">
        <is>
          <t>계획서 및 연구비 산출내역서 별도 작성</t>
        </is>
      </c>
    </row>
    <row r="82" ht="18" customFormat="1" customHeight="1" s="264">
      <c r="A82" s="249" t="n"/>
      <c r="B82" s="302" t="n"/>
      <c r="C82" s="441" t="n"/>
      <c r="D82" s="304" t="n"/>
      <c r="E82" s="305" t="n"/>
      <c r="F82" s="266" t="n"/>
      <c r="G82" s="305" t="n"/>
      <c r="H82" s="305" t="n"/>
      <c r="I82" s="305" t="n"/>
      <c r="J82" s="266" t="n"/>
      <c r="K82" s="266" t="n"/>
      <c r="L82" s="251" t="n"/>
      <c r="M82" s="251" t="n"/>
      <c r="N82" s="251" t="n"/>
      <c r="O82" s="269" t="n"/>
      <c r="P82" s="305" t="n"/>
      <c r="Q82" s="249" t="n"/>
      <c r="R82" s="249" t="n"/>
      <c r="S82" s="249" t="n"/>
      <c r="T82" s="249" t="n"/>
      <c r="U82" s="249" t="n"/>
      <c r="V82" s="249" t="n"/>
      <c r="W82" s="249" t="n"/>
    </row>
    <row r="83" ht="24" customHeight="1" s="400" thickBot="1">
      <c r="B83" s="397" t="inlineStr">
        <is>
          <t>Ⅱ. 간접비(직접비의 6%)</t>
        </is>
      </c>
      <c r="C83" s="408" t="n"/>
      <c r="D83" s="408" t="n"/>
      <c r="E83" s="408" t="n"/>
      <c r="F83" s="408" t="n"/>
      <c r="G83" s="408" t="n"/>
      <c r="H83" s="408" t="n"/>
      <c r="I83" s="408" t="n"/>
      <c r="J83" s="408" t="n"/>
      <c r="K83" s="408" t="n"/>
      <c r="L83" s="408" t="n"/>
      <c r="M83" s="408" t="n"/>
      <c r="N83" s="408" t="n"/>
      <c r="O83" s="398" t="inlineStr">
        <is>
          <t>금액</t>
        </is>
      </c>
      <c r="P83" s="398" t="n"/>
      <c r="Q83" s="395" t="inlineStr">
        <is>
          <t>비고</t>
        </is>
      </c>
    </row>
    <row r="84" ht="18" customHeight="1" s="400">
      <c r="B84" s="215" t="inlineStr">
        <is>
          <t>○ 간접비 합계</t>
        </is>
      </c>
      <c r="C84" s="248" t="n"/>
      <c r="D84" s="228" t="inlineStr">
        <is>
          <t>&lt;자동입력&gt;</t>
        </is>
      </c>
      <c r="E84" s="248" t="n"/>
      <c r="F84" s="248" t="n"/>
      <c r="G84" s="248" t="n"/>
      <c r="H84" s="248" t="n"/>
      <c r="I84" s="248" t="n"/>
      <c r="J84" s="248" t="n"/>
      <c r="K84" s="253" t="n"/>
      <c r="L84" s="248" t="n"/>
      <c r="M84" s="248" t="n"/>
      <c r="N84" s="253" t="n"/>
      <c r="O84" s="423">
        <f>SUM(O85:O85)</f>
        <v/>
      </c>
      <c r="P84" s="292" t="n"/>
    </row>
    <row r="85" ht="18" customHeight="1" s="400">
      <c r="B85" s="282" t="n"/>
      <c r="C85" s="284" t="inlineStr">
        <is>
          <t>직접비 소계</t>
        </is>
      </c>
      <c r="D85" s="442">
        <f>O7</f>
        <v/>
      </c>
      <c r="E85" s="283" t="inlineStr">
        <is>
          <t>×</t>
        </is>
      </c>
      <c r="F85" s="307" t="n">
        <v>0.06</v>
      </c>
      <c r="G85" s="308" t="n"/>
      <c r="H85" s="308" t="n"/>
      <c r="I85" s="308" t="n"/>
      <c r="J85" s="308" t="n"/>
      <c r="L85" s="248" t="n"/>
      <c r="M85" s="248" t="n"/>
      <c r="N85" s="309" t="inlineStr">
        <is>
          <t>=</t>
        </is>
      </c>
      <c r="O85" s="443">
        <f>D85*0.06</f>
        <v/>
      </c>
      <c r="P85" s="292" t="n"/>
      <c r="Q85" s="258" t="n"/>
    </row>
    <row r="86" ht="18" customHeight="1" s="400">
      <c r="B86" s="308" t="n"/>
      <c r="C86" s="246" t="n"/>
      <c r="D86" s="308" t="n"/>
      <c r="E86" s="308" t="n"/>
      <c r="F86" s="308" t="n"/>
      <c r="G86" s="308" t="n"/>
      <c r="H86" s="308" t="n"/>
      <c r="I86" s="308" t="n"/>
      <c r="J86" s="308" t="n"/>
      <c r="K86" s="246" t="n"/>
      <c r="L86" s="248" t="n"/>
      <c r="M86" s="248" t="n"/>
      <c r="N86" s="253" t="n"/>
      <c r="O86" s="444" t="n"/>
      <c r="P86" s="312" t="n"/>
    </row>
    <row r="87" ht="22.5" customHeight="1" s="400" thickBot="1">
      <c r="B87" s="391" t="inlineStr">
        <is>
          <t>연구비 총 합계(직접비+간접비)</t>
        </is>
      </c>
      <c r="C87" s="408" t="n"/>
      <c r="D87" s="408" t="n"/>
      <c r="E87" s="408" t="n"/>
      <c r="F87" s="408" t="n"/>
      <c r="G87" s="408" t="n"/>
      <c r="H87" s="408" t="n"/>
      <c r="I87" s="408" t="n"/>
      <c r="J87" s="408" t="n"/>
      <c r="K87" s="408" t="n"/>
      <c r="L87" s="408" t="n"/>
      <c r="M87" s="408" t="n"/>
      <c r="N87" s="313" t="inlineStr">
        <is>
          <t>=</t>
        </is>
      </c>
      <c r="O87" s="445">
        <f>O7+O84</f>
        <v/>
      </c>
      <c r="P87" s="315" t="n"/>
      <c r="Q87" s="316" t="n"/>
    </row>
    <row r="88" ht="19.5" customHeight="1" s="400">
      <c r="O88" s="446" t="n"/>
    </row>
  </sheetData>
  <mergeCells count="21">
    <mergeCell ref="B83:N83"/>
    <mergeCell ref="L5:N5"/>
    <mergeCell ref="B6:N6"/>
    <mergeCell ref="B87:M87"/>
    <mergeCell ref="T3:T7"/>
    <mergeCell ref="B75:N75"/>
    <mergeCell ref="B9:J9"/>
    <mergeCell ref="T9:U9"/>
    <mergeCell ref="B25:N25"/>
    <mergeCell ref="B16:N16"/>
    <mergeCell ref="B30:J30"/>
    <mergeCell ref="B3:Q3"/>
    <mergeCell ref="T2:U2"/>
    <mergeCell ref="T8:U8"/>
    <mergeCell ref="B2:Q2"/>
    <mergeCell ref="B17:K17"/>
    <mergeCell ref="B1:Q1"/>
    <mergeCell ref="B76:C76"/>
    <mergeCell ref="B4:C4"/>
    <mergeCell ref="R1:S1"/>
    <mergeCell ref="T1:W1"/>
  </mergeCells>
  <conditionalFormatting sqref="P38:P41">
    <cfRule type="cellIs" priority="10" operator="greaterThan" dxfId="2">
      <formula>0.2</formula>
    </cfRule>
  </conditionalFormatting>
  <conditionalFormatting sqref="P76">
    <cfRule type="cellIs" priority="1" operator="greaterThan" dxfId="1">
      <formula>0.5</formula>
    </cfRule>
    <cfRule type="cellIs" priority="9" operator="greaterThan" dxfId="2">
      <formula>0.5</formula>
    </cfRule>
  </conditionalFormatting>
  <conditionalFormatting sqref="P22">
    <cfRule type="cellIs" priority="2" operator="greaterThan" dxfId="1">
      <formula>0.1</formula>
    </cfRule>
    <cfRule type="cellIs" priority="3" operator="greaterThan" dxfId="0">
      <formula>0.1</formula>
    </cfRule>
  </conditionalFormatting>
  <pageMargins left="0.2362204724409449" right="0.2362204724409449" top="0.45" bottom="0.43" header="0.3149606299212598" footer="0.3149606299212598"/>
  <pageSetup orientation="portrait" paperSize="9" scale="62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C14" sqref="C14"/>
    </sheetView>
  </sheetViews>
  <sheetFormatPr baseColWidth="8" defaultRowHeight="16.5"/>
  <cols>
    <col width="33.25" customWidth="1" style="400" min="1" max="1"/>
    <col width="30.125" customWidth="1" style="400" min="2" max="4"/>
    <col width="18.125" customWidth="1" style="400" min="5" max="6"/>
  </cols>
  <sheetData>
    <row r="1" ht="22.5" customHeight="1" s="400">
      <c r="A1" s="374" t="inlineStr">
        <is>
          <t>학술연구용역인건비기준단가(2026년)</t>
        </is>
      </c>
    </row>
    <row r="2" ht="18.75" customHeight="1" s="400">
      <c r="A2" s="178" t="inlineStr">
        <is>
          <t>등 급</t>
        </is>
      </c>
      <c r="B2" s="178" t="inlineStr">
        <is>
          <t>월 임금(’26) 50%</t>
        </is>
      </c>
      <c r="C2" s="178" t="inlineStr">
        <is>
          <t>월 임금(’26) 100%</t>
        </is>
      </c>
      <c r="D2" s="179" t="inlineStr">
        <is>
          <t>연봉(참여율 100%)</t>
        </is>
      </c>
    </row>
    <row r="3" ht="18.75" customHeight="1" s="400">
      <c r="A3" s="182" t="inlineStr">
        <is>
          <t>책임연구원</t>
        </is>
      </c>
      <c r="B3" s="180" t="n">
        <v>3783728</v>
      </c>
      <c r="C3" s="180">
        <f>B3*2</f>
        <v/>
      </c>
      <c r="D3" s="447">
        <f>C3*12</f>
        <v/>
      </c>
    </row>
    <row r="4" ht="18.75" customHeight="1" s="400">
      <c r="A4" s="182" t="inlineStr">
        <is>
          <t>연구원</t>
        </is>
      </c>
      <c r="B4" s="180" t="n">
        <v>2901312</v>
      </c>
      <c r="C4" s="180">
        <f>B4*2</f>
        <v/>
      </c>
      <c r="D4" s="447">
        <f>C4*12</f>
        <v/>
      </c>
    </row>
    <row r="5" ht="18.75" customHeight="1" s="400">
      <c r="A5" s="182" t="inlineStr">
        <is>
          <t>연구보조원</t>
        </is>
      </c>
      <c r="B5" s="180" t="n">
        <v>1939429</v>
      </c>
      <c r="C5" s="180">
        <f>B5*2</f>
        <v/>
      </c>
      <c r="D5" s="447">
        <f>C5*12</f>
        <v/>
      </c>
    </row>
    <row r="6" ht="18.75" customHeight="1" s="400">
      <c r="A6" s="182" t="inlineStr">
        <is>
          <t>보조원</t>
        </is>
      </c>
      <c r="B6" s="180" t="n">
        <v>1454621</v>
      </c>
      <c r="C6" s="180">
        <f>B6*2</f>
        <v/>
      </c>
      <c r="D6" s="447">
        <f>C6*12</f>
        <v/>
      </c>
    </row>
    <row r="8" ht="21" customHeight="1" s="400">
      <c r="A8" s="378" t="inlineStr">
        <is>
          <t>국내 숙박비 등급 구분표</t>
        </is>
      </c>
      <c r="B8" s="448" t="n"/>
      <c r="C8" s="448" t="n"/>
      <c r="D8" s="448" t="n"/>
      <c r="E8" s="448" t="n"/>
      <c r="F8" s="401" t="n"/>
    </row>
    <row r="9" ht="17.25" customHeight="1" s="400">
      <c r="A9" s="192" t="inlineStr">
        <is>
          <t>도시종류</t>
        </is>
      </c>
      <c r="B9" s="183" t="inlineStr">
        <is>
          <t>구분</t>
        </is>
      </c>
      <c r="C9" s="203" t="inlineStr">
        <is>
          <t>등급(입력값)</t>
        </is>
      </c>
      <c r="D9" s="192" t="inlineStr">
        <is>
          <t>식비</t>
        </is>
      </c>
      <c r="E9" s="192" t="inlineStr">
        <is>
          <t>숙박비상한액</t>
        </is>
      </c>
      <c r="F9" s="192" t="inlineStr">
        <is>
          <t>일비</t>
        </is>
      </c>
    </row>
    <row r="10" ht="17.25" customHeight="1" s="400">
      <c r="A10" s="449" t="inlineStr">
        <is>
          <t>수도권</t>
        </is>
      </c>
      <c r="B10" s="206" t="inlineStr">
        <is>
          <t>원장, 관리직</t>
        </is>
      </c>
      <c r="C10" s="189" t="inlineStr">
        <is>
          <t>-</t>
        </is>
      </c>
      <c r="D10" s="187" t="n">
        <v>25000</v>
      </c>
      <c r="E10" s="187" t="inlineStr">
        <is>
          <t>전액(실비입력필요)</t>
        </is>
      </c>
      <c r="F10" s="450" t="n">
        <v>25000</v>
      </c>
    </row>
    <row r="11">
      <c r="A11" s="410" t="n"/>
      <c r="B11" s="189" t="inlineStr">
        <is>
          <t>그외 전직원</t>
        </is>
      </c>
      <c r="C11" s="204" t="inlineStr">
        <is>
          <t>가</t>
        </is>
      </c>
      <c r="D11" s="187" t="n">
        <v>25000</v>
      </c>
      <c r="E11" s="187" t="n">
        <v>100000</v>
      </c>
      <c r="F11" s="404" t="n"/>
    </row>
    <row r="12" ht="17.25" customHeight="1" s="400">
      <c r="A12" s="449" t="inlineStr">
        <is>
          <t>광역시</t>
        </is>
      </c>
      <c r="B12" s="206" t="inlineStr">
        <is>
          <t>원장, 관리직</t>
        </is>
      </c>
      <c r="C12" s="189" t="inlineStr">
        <is>
          <t>-</t>
        </is>
      </c>
      <c r="D12" s="187" t="n">
        <v>25000</v>
      </c>
      <c r="E12" s="187" t="inlineStr">
        <is>
          <t>전액(실비입력필요)</t>
        </is>
      </c>
      <c r="F12" s="404" t="n"/>
    </row>
    <row r="13">
      <c r="A13" s="410" t="n"/>
      <c r="B13" s="189" t="inlineStr">
        <is>
          <t>그외 전직원</t>
        </is>
      </c>
      <c r="C13" s="204" t="inlineStr">
        <is>
          <t>나</t>
        </is>
      </c>
      <c r="D13" s="187" t="n">
        <v>25000</v>
      </c>
      <c r="E13" s="187" t="n">
        <v>80000</v>
      </c>
      <c r="F13" s="404" t="n"/>
    </row>
    <row r="14" ht="17.25" customHeight="1" s="400">
      <c r="A14" s="449" t="inlineStr">
        <is>
          <t>그외도시</t>
        </is>
      </c>
      <c r="B14" s="206" t="inlineStr">
        <is>
          <t>원장, 관리직</t>
        </is>
      </c>
      <c r="C14" s="189" t="inlineStr">
        <is>
          <t>-</t>
        </is>
      </c>
      <c r="D14" s="187" t="n">
        <v>25000</v>
      </c>
      <c r="E14" s="187" t="inlineStr">
        <is>
          <t>전액(실비입력필요)</t>
        </is>
      </c>
      <c r="F14" s="404" t="n"/>
    </row>
    <row r="15">
      <c r="A15" s="410" t="n"/>
      <c r="B15" s="189" t="inlineStr">
        <is>
          <t>그외 전직원</t>
        </is>
      </c>
      <c r="C15" s="204" t="inlineStr">
        <is>
          <t>다</t>
        </is>
      </c>
      <c r="D15" s="187" t="n">
        <v>25000</v>
      </c>
      <c r="E15" s="187" t="n">
        <v>70000</v>
      </c>
      <c r="F15" s="410" t="n"/>
    </row>
    <row r="16">
      <c r="A16" s="185" t="n"/>
      <c r="B16" s="185" t="n"/>
      <c r="C16" s="185" t="n"/>
      <c r="D16" s="185" t="n"/>
      <c r="E16" s="185" t="n"/>
      <c r="F16" s="185" t="n"/>
    </row>
    <row r="17" ht="21" customHeight="1" s="400">
      <c r="A17" s="381" t="inlineStr">
        <is>
          <t>국외 여비 등급 구분표</t>
        </is>
      </c>
      <c r="B17" s="448" t="n"/>
      <c r="C17" s="448" t="n"/>
      <c r="D17" s="448" t="n"/>
      <c r="E17" s="448" t="n"/>
      <c r="F17" s="401" t="n"/>
    </row>
    <row r="18" ht="17.25" customHeight="1" s="400">
      <c r="A18" s="197" t="inlineStr">
        <is>
          <t>도시</t>
        </is>
      </c>
      <c r="B18" s="198" t="inlineStr">
        <is>
          <t>구분</t>
        </is>
      </c>
      <c r="C18" s="199" t="inlineStr">
        <is>
          <t>등급(입력값)</t>
        </is>
      </c>
      <c r="D18" s="205" t="inlineStr">
        <is>
          <t>일비</t>
        </is>
      </c>
      <c r="E18" s="183" t="inlineStr">
        <is>
          <t>숙박비상한액(실비)</t>
        </is>
      </c>
      <c r="F18" s="183" t="inlineStr">
        <is>
          <t>식비</t>
        </is>
      </c>
    </row>
    <row r="19" ht="17.25" customHeight="1" s="400">
      <c r="A19" s="451" t="inlineStr">
        <is>
          <t>도쿄, 뉴욕, 런던, 로스엔젤레스, 모스크바, 샌프란시스코, 워싱턴 D.C., 파리, 홍콩, 제네바, 싱가포르</t>
        </is>
      </c>
      <c r="B19" s="193" t="inlineStr">
        <is>
          <t>원장</t>
        </is>
      </c>
      <c r="C19" s="184" t="n">
        <v>1</v>
      </c>
      <c r="D19" s="206" t="n">
        <v>50</v>
      </c>
      <c r="E19" s="183" t="n">
        <v>389</v>
      </c>
      <c r="F19" s="183" t="n">
        <v>160</v>
      </c>
    </row>
    <row r="20" ht="17.25" customHeight="1" s="400">
      <c r="A20" s="452" t="n"/>
      <c r="B20" s="193" t="inlineStr">
        <is>
          <t>관리직</t>
        </is>
      </c>
      <c r="C20" s="184" t="n">
        <v>2</v>
      </c>
      <c r="D20" s="206" t="n">
        <v>40</v>
      </c>
      <c r="E20" s="183" t="n">
        <v>282</v>
      </c>
      <c r="F20" s="183" t="n">
        <v>133</v>
      </c>
    </row>
    <row r="21" ht="27" customHeight="1" s="400">
      <c r="A21" s="452" t="n"/>
      <c r="B21" s="200" t="inlineStr">
        <is>
          <t>의사직, 연구직(수석연구원, 책임연구원), 의학물리학직(1-2급), 일반직(1-2급)</t>
        </is>
      </c>
      <c r="C21" s="184" t="n">
        <v>3</v>
      </c>
      <c r="D21" s="206" t="n">
        <v>35</v>
      </c>
      <c r="E21" s="183" t="n">
        <v>223</v>
      </c>
      <c r="F21" s="183" t="n">
        <v>107</v>
      </c>
    </row>
    <row r="22" ht="17.25" customHeight="1" s="400">
      <c r="A22" s="453" t="n"/>
      <c r="B22" s="196" t="inlineStr">
        <is>
          <t>위를 제외한 전 직원</t>
        </is>
      </c>
      <c r="C22" s="184" t="n">
        <v>4</v>
      </c>
      <c r="D22" s="206" t="n">
        <v>30</v>
      </c>
      <c r="E22" s="183" t="n">
        <v>176</v>
      </c>
      <c r="F22" s="183" t="n">
        <v>81</v>
      </c>
    </row>
    <row r="23" ht="35.25" customHeight="1" s="400">
      <c r="A23" s="451" t="inlineStr">
        <is>
          <t>베이징, 사모아, 오스트레일리아, 인도, 일본, 카자흐스탄, 쿡제도, 타이완, 파푸아뉴기니,멕시코, 미국, 바베이도스, 세인트루시아, 세인트빈센트그레나딘, 세인트키츠네비스, 아이티, 앤티가바부다, 자메이카, 캐나다, 트리니다드토바고, 그리스, 네덜란드, 노르웨이, 덴마크, 독일, 러시아, 룩셈부르크, 벨기에, 사이프러스, 스웨덴, 스위스, 스페인, 아이슬란드, 아일랜드, 영국, 오스트리아, 이탈리아, 포르투칼, 프랑스, 핀란드, 헝가리, 가나, 가봉, 남수단, 남아프리카공화국, 리비아, 모로코, 바레인, 사우디아라비아, 세이셸, 아랍에미리트, 앙골라, 에티오피아, 오만, 우간다, 이스라엘, 이집트, 적도기니, 카타르, 코트디부아르, 콩고민주공화국, 쿠웨이트</t>
        </is>
      </c>
      <c r="B23" s="189" t="inlineStr">
        <is>
          <t>원장</t>
        </is>
      </c>
      <c r="C23" s="184" t="n">
        <v>5</v>
      </c>
      <c r="D23" s="206" t="n">
        <v>50</v>
      </c>
      <c r="E23" s="183" t="n">
        <v>289</v>
      </c>
      <c r="F23" s="183" t="n">
        <v>117</v>
      </c>
    </row>
    <row r="24" ht="35.25" customHeight="1" s="400">
      <c r="A24" s="452" t="n"/>
      <c r="B24" s="189" t="inlineStr">
        <is>
          <t>관리직</t>
        </is>
      </c>
      <c r="C24" s="184" t="n">
        <v>6</v>
      </c>
      <c r="D24" s="206" t="n">
        <v>40</v>
      </c>
      <c r="E24" s="183" t="n">
        <v>207</v>
      </c>
      <c r="F24" s="183" t="n">
        <v>99</v>
      </c>
    </row>
    <row r="25" ht="35.25" customHeight="1" s="400">
      <c r="A25" s="452" t="n"/>
      <c r="B25" s="201" t="inlineStr">
        <is>
          <t>의사직, 연구직(수석연구원, 책임연구원), 의학물리학직(1-2급), 일반직(1-2급)</t>
        </is>
      </c>
      <c r="C25" s="184" t="n">
        <v>7</v>
      </c>
      <c r="D25" s="206" t="n">
        <v>35</v>
      </c>
      <c r="E25" s="183" t="n">
        <v>160</v>
      </c>
      <c r="F25" s="183" t="n">
        <v>78</v>
      </c>
    </row>
    <row r="26" ht="35.25" customHeight="1" s="400">
      <c r="A26" s="453" t="n"/>
      <c r="B26" s="195" t="inlineStr">
        <is>
          <t>위를 제외한 전 직원</t>
        </is>
      </c>
      <c r="C26" s="184" t="n">
        <v>8</v>
      </c>
      <c r="D26" s="206" t="n">
        <v>30</v>
      </c>
      <c r="E26" s="183" t="n">
        <v>137</v>
      </c>
      <c r="F26" s="183" t="n">
        <v>59</v>
      </c>
    </row>
    <row r="27" ht="39" customHeight="1" s="400">
      <c r="A27" s="451" t="inlineStr">
        <is>
          <t>뉴질랜드, 니우에, 마셜군도, 말레이시아, 방글라데시, 브루나이, 아제르바이잔, 인도네시아, 중국, 키르키즈공화국, 타이, 터키, 투르크메니스탄, 파키스탄, 피지, 가이아나, 과테말라, 도미니카공화국, 베네수엘라, 벨리즈, 브라질, 아르헨티나, 에콰도르, 우루과이, 칠레, 코스타리카, 파나마, 라트비아, 루마니아, 리투아니아, 몬테네그로, 불가리아, 세르비아, 슬로바키아, 슬로베니아, 에스토니아, 우크라이나, 체코, 크로아티아, 폴란드, 기니, 나이지리아, 니제르, 라이베리아, 레바논, 르완다, 말리, 모리셔스, 모잠비크, 보츠와나, 부르키나파소, 상투메프린시페, 세네갈, 수단, 스와질란드, 시에라리온, 아프가니스탄, 알제리, 요르단, 이라크, 잠비아, 중앙아프리카공화국, 카메룬, 케냐, 탄자니아</t>
        </is>
      </c>
      <c r="B27" s="189" t="inlineStr">
        <is>
          <t>원장</t>
        </is>
      </c>
      <c r="C27" s="184" t="n">
        <v>9</v>
      </c>
      <c r="D27" s="206" t="n">
        <v>50</v>
      </c>
      <c r="E27" s="183" t="n">
        <v>215</v>
      </c>
      <c r="F27" s="183" t="n">
        <v>87</v>
      </c>
    </row>
    <row r="28" ht="39" customHeight="1" s="400">
      <c r="A28" s="452" t="n"/>
      <c r="B28" s="189" t="inlineStr">
        <is>
          <t>관리직</t>
        </is>
      </c>
      <c r="C28" s="184" t="n">
        <v>10</v>
      </c>
      <c r="D28" s="206" t="n">
        <v>40</v>
      </c>
      <c r="E28" s="183" t="n">
        <v>162</v>
      </c>
      <c r="F28" s="183" t="n">
        <v>72</v>
      </c>
    </row>
    <row r="29" ht="39" customHeight="1" s="400">
      <c r="A29" s="452" t="n"/>
      <c r="B29" s="202" t="inlineStr">
        <is>
          <t>의사직, 연구직(수석연구원, 책임연구원), 의학물리학직(1-2급), 일반직(1-2급)</t>
        </is>
      </c>
      <c r="C29" s="184" t="n">
        <v>11</v>
      </c>
      <c r="D29" s="206" t="n">
        <v>35</v>
      </c>
      <c r="E29" s="183" t="n">
        <v>130</v>
      </c>
      <c r="F29" s="183" t="n">
        <v>58</v>
      </c>
    </row>
    <row r="30" ht="39" customHeight="1" s="400">
      <c r="A30" s="453" t="n"/>
      <c r="B30" s="194" t="inlineStr">
        <is>
          <t>위를 제외한 전 직원</t>
        </is>
      </c>
      <c r="C30" s="184" t="n">
        <v>12</v>
      </c>
      <c r="D30" s="206" t="n">
        <v>30</v>
      </c>
      <c r="E30" s="183" t="n">
        <v>106</v>
      </c>
      <c r="F30" s="183" t="n">
        <v>44</v>
      </c>
    </row>
    <row r="31" ht="35.25" customHeight="1" s="400">
      <c r="A31" s="451" t="inlineStr">
        <is>
          <t>네팔, 동티모르, 라오스, 몽골, 미얀마, 미크로네시아, 베트남, 스리랑카, 우즈베키스탄, 캄보디아, 타지키스탄, 통가, 필리핀, 니카라과, 볼리비아, 수리남, 엘살바도르, 온두라스, 콜롬비아, 파라과이, 페루,마케도니아, 몰도바, 벨라루스, 보스니아헤르체코비나, 알바니아, 감비아, 기니비사우, 나미비아, 레소토, 마다가스카르, 말라위, 모리타니, 소말리아, 예멘, 이란, 짐바브웨, 튀니지</t>
        </is>
      </c>
      <c r="B31" s="189" t="inlineStr">
        <is>
          <t>원장</t>
        </is>
      </c>
      <c r="C31" s="184" t="n">
        <v>13</v>
      </c>
      <c r="D31" s="206" t="n">
        <v>50</v>
      </c>
      <c r="E31" s="183" t="n">
        <v>161</v>
      </c>
      <c r="F31" s="183" t="n">
        <v>73</v>
      </c>
    </row>
    <row r="32" ht="35.25" customHeight="1" s="400">
      <c r="A32" s="452" t="n"/>
      <c r="B32" s="189" t="inlineStr">
        <is>
          <t>관리직</t>
        </is>
      </c>
      <c r="C32" s="184" t="n">
        <v>14</v>
      </c>
      <c r="D32" s="206" t="n">
        <v>40</v>
      </c>
      <c r="E32" s="183" t="n">
        <v>108</v>
      </c>
      <c r="F32" s="183" t="n">
        <v>61</v>
      </c>
    </row>
    <row r="33" ht="35.25" customHeight="1" s="400">
      <c r="A33" s="452" t="n"/>
      <c r="B33" s="202" t="inlineStr">
        <is>
          <t>의사직, 연구직(수석연구원, 책임연구원), 의학물리학직(1-2급), 일반직(1-2급)</t>
        </is>
      </c>
      <c r="C33" s="184" t="n">
        <v>15</v>
      </c>
      <c r="D33" s="206" t="n">
        <v>35</v>
      </c>
      <c r="E33" s="183" t="n">
        <v>85</v>
      </c>
      <c r="F33" s="183" t="n">
        <v>49</v>
      </c>
    </row>
    <row r="34" ht="35.25" customHeight="1" s="400">
      <c r="A34" s="453" t="n"/>
      <c r="B34" s="194" t="inlineStr">
        <is>
          <t>위를 제외한 전 직원</t>
        </is>
      </c>
      <c r="C34" s="184" t="n">
        <v>16</v>
      </c>
      <c r="D34" s="206" t="n">
        <v>30</v>
      </c>
      <c r="E34" s="183" t="n">
        <v>81</v>
      </c>
      <c r="F34" s="183" t="n">
        <v>37</v>
      </c>
    </row>
  </sheetData>
  <mergeCells count="11">
    <mergeCell ref="A1:D1"/>
    <mergeCell ref="A27:A30"/>
    <mergeCell ref="A23:A26"/>
    <mergeCell ref="A12:A13"/>
    <mergeCell ref="A31:A34"/>
    <mergeCell ref="A8:F8"/>
    <mergeCell ref="A17:F17"/>
    <mergeCell ref="F10:F15"/>
    <mergeCell ref="A10:A11"/>
    <mergeCell ref="A19:A22"/>
    <mergeCell ref="A14:A1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nmc</dc:creator>
  <dcterms:created xmlns:dcterms="http://purl.org/dc/terms/" xmlns:xsi="http://www.w3.org/2001/XMLSchema-instance" xsi:type="dcterms:W3CDTF">2022-09-23T07:56:57Z</dcterms:created>
  <dcterms:modified xmlns:dcterms="http://purl.org/dc/terms/" xmlns:xsi="http://www.w3.org/2001/XMLSchema-instance" xsi:type="dcterms:W3CDTF">2026-09-22T23:10:50Z</dcterms:modified>
  <cp:lastModifiedBy>nmc</cp:lastModifiedBy>
  <cp:lastPrinted>2022-10-23T23:48:30Z</cp:lastPrinted>
</cp:coreProperties>
</file>